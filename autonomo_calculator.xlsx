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7" name="Overview" state="visible" r:id="rId4"/>
    <sheet sheetId="2" name="Scenario A - 3K" state="visible" r:id="rId5"/>
    <sheet sheetId="3" name="Scenario B - 6K" state="visible" r:id="rId6"/>
    <sheet sheetId="4" name="Scenario C - 9K" state="visible" r:id="rId7"/>
    <sheet sheetId="5" name="Scenario D - 12K" state="visible" r:id="rId8"/>
    <sheet sheetId="6" name="Scenario E - 18K" state="visible" r:id="rId9"/>
    <sheet sheetId="1" name="Constants" state="visible" r:id="rId10"/>
  </sheets>
  <definedNames>
    <definedName name="RETA_MONTHLY">Constants!$B$5</definedName>
    <definedName name="RETA_ANNUAL">Constants!$B$6</definedName>
    <definedName name="MINIMO_PERSONAL">Constants!$B$9</definedName>
    <definedName name="MINIMO_DESCENDIENTES">Constants!$B$10</definedName>
    <definedName name="GASTOS_DIFICIL_RATE">Constants!$B$13</definedName>
    <definedName name="GASTOS_DIFICIL_MAX">Constants!$B$14</definedName>
    <definedName name="PRIVATE_COSTS">Constants!$B$17</definedName>
    <definedName name="_xlnm.Print_Area" localSheetId="0">'Overview'!$A1:$F30</definedName>
    <definedName name="_xlnm.Print_Area" localSheetId="1">'Scenario A - 3K'!$A1:$E55</definedName>
    <definedName name="_xlnm.Print_Area" localSheetId="2">'Scenario B - 6K'!$A1:$E55</definedName>
    <definedName name="_xlnm.Print_Area" localSheetId="3">'Scenario C - 9K'!$A1:$E55</definedName>
    <definedName name="_xlnm.Print_Area" localSheetId="4">'Scenario D - 12K'!$A1:$E55</definedName>
    <definedName name="_xlnm.Print_Area" localSheetId="5">'Scenario E - 18K'!$A1:$E55</definedName>
    <definedName name="_xlnm.Print_Area" localSheetId="6">'Constants'!$A1:$D31</definedName>
  </definedNames>
  <calcPr calcId="171027"/>
</workbook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b/>
          </rPr>
          <t xml:space="preserve">Generated by autonomo_calculator
</t>
        </r>
        <r>
          <rPr>
            <i/>
          </rPr>
          <t>Node.js + ExcelJS</t>
        </r>
      </text>
    </comment>
  </commentList>
</comments>
</file>

<file path=xl/sharedStrings.xml><?xml version="1.0" encoding="utf-8"?>
<sst xmlns="http://schemas.openxmlformats.org/spreadsheetml/2006/main" count="265" uniqueCount="74">
  <si>
    <t>Spanish Autonomo Tax Calculator</t>
  </si>
  <si>
    <t>Fiscal Year 2025/2026</t>
  </si>
  <si>
    <t>Quick Navigation</t>
  </si>
  <si>
    <t>Scenario A - 3K</t>
  </si>
  <si>
    <t>Scenario B - 6K</t>
  </si>
  <si>
    <t>Scenario C - 9K</t>
  </si>
  <si>
    <t>Scenario D - 12K</t>
  </si>
  <si>
    <t>Scenario E - 18K</t>
  </si>
  <si>
    <t>Constants (Fiscal Data)</t>
  </si>
  <si>
    <t>Scenario Comparison</t>
  </si>
  <si>
    <t>Metric</t>
  </si>
  <si>
    <t>A</t>
  </si>
  <si>
    <t>B</t>
  </si>
  <si>
    <t>C</t>
  </si>
  <si>
    <t>D</t>
  </si>
  <si>
    <t>E</t>
  </si>
  <si>
    <t>Monthly Revenue</t>
  </si>
  <si>
    <t>Monthly Expenses</t>
  </si>
  <si>
    <t>Belgium Pattern</t>
  </si>
  <si>
    <t/>
  </si>
  <si>
    <t>Annual Revenue</t>
  </si>
  <si>
    <t>Total Deductible</t>
  </si>
  <si>
    <t>Base Liquidable</t>
  </si>
  <si>
    <t>Annual IRPF</t>
  </si>
  <si>
    <t>Monthly IRPF</t>
  </si>
  <si>
    <t>Effective Tax Rate</t>
  </si>
  <si>
    <t>Annual Net Income</t>
  </si>
  <si>
    <t>Monthly Net Income</t>
  </si>
  <si>
    <t>Annual Leefgeld</t>
  </si>
  <si>
    <t>Monthly Leefgeld</t>
  </si>
  <si>
    <t>INPUTS (Edit these values)</t>
  </si>
  <si>
    <t>Spain Deductible</t>
  </si>
  <si>
    <t>ANNUAL CALCULATIONS</t>
  </si>
  <si>
    <t>Annual Expenses</t>
  </si>
  <si>
    <t>Annual Belgium Costs</t>
  </si>
  <si>
    <t>Annual Spain Deductible</t>
  </si>
  <si>
    <t>RETA Annual</t>
  </si>
  <si>
    <t>Rendimiento Neto Previo</t>
  </si>
  <si>
    <t>GASTOS DE DIFICIL JUSTIFICACION</t>
  </si>
  <si>
    <t>Gastos Dificil (5%)</t>
  </si>
  <si>
    <t>IRPF BRACKET CALCULATION</t>
  </si>
  <si>
    <t>Lower</t>
  </si>
  <si>
    <t>Upper</t>
  </si>
  <si>
    <t>Rate</t>
  </si>
  <si>
    <t>Taxable</t>
  </si>
  <si>
    <t>Tax</t>
  </si>
  <si>
    <t>+</t>
  </si>
  <si>
    <t>Total Tax (Cuota 1)</t>
  </si>
  <si>
    <t>4-PHASE MINIMO METHOD</t>
  </si>
  <si>
    <t>Tax on Base (Cuota 1)</t>
  </si>
  <si>
    <t>Minimo Personal</t>
  </si>
  <si>
    <t>Minimo Descendientes</t>
  </si>
  <si>
    <t>Total Minimos</t>
  </si>
  <si>
    <t>Tax on Minimos (Cuota 3)</t>
  </si>
  <si>
    <t>Cuota Integra</t>
  </si>
  <si>
    <t>Cuota Diferencial</t>
  </si>
  <si>
    <t>FINAL RESULTS</t>
  </si>
  <si>
    <t>Fiscal Data 2025/2026</t>
  </si>
  <si>
    <t>Sources: AEAT, BOE, Seguridad Social</t>
  </si>
  <si>
    <t>RETA (Seguridad Social)</t>
  </si>
  <si>
    <t>RETA Monthly</t>
  </si>
  <si>
    <t>Minimos Personales y Familiares</t>
  </si>
  <si>
    <t>Minimo Descendientes (1)</t>
  </si>
  <si>
    <t>Gastos de Dificil Justificacion</t>
  </si>
  <si>
    <t>Gastos Dificil Rate</t>
  </si>
  <si>
    <t>Gastos Dificil Max</t>
  </si>
  <si>
    <t>Private Costs (Non-Deductible)</t>
  </si>
  <si>
    <t>Private Costs Monthly</t>
  </si>
  <si>
    <t>IRPF 2025 Brackets</t>
  </si>
  <si>
    <t>Base Tax</t>
  </si>
  <si>
    <t>Notes:</t>
  </si>
  <si>
    <t>- RETA cuota is fixed from registration (not theoretical tramo)</t>
  </si>
  <si>
    <t>- Gastos dificil: 5% (not 7% - that was exceptional 2023)</t>
  </si>
  <si>
    <t>- Update these values for 2027 rates when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</si>
</sst>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EUR &quot;#,##0.00"/>
    <numFmt numFmtId="165" formatCode="&quot;EUR &quot;#,##0"/>
    <numFmt numFmtId="166" formatCode="0.0%"/>
  </numFmts>
  <fonts count="7" x14ac:knownFonts="1">
    <font>
      <color theme="1"/>
      <family val="2"/>
      <scheme val="minor"/>
      <sz val="11"/>
      <name val="Calibri"/>
    </font>
    <font>
      <b/>
      <sz val="18"/>
    </font>
    <font>
      <color rgb="FF666666"/>
      <sz val="12"/>
    </font>
    <font>
      <b/>
      <sz val="14"/>
    </font>
    <font>
      <u/>
      <color rgb="FF0066CC"/>
    </font>
    <font>
      <b/>
    </font>
    <font>
      <i/>
      <color rgb="FF666666"/>
    </font>
  </fonts>
  <fills count="6">
    <fill>
      <patternFill patternType="none"/>
    </fill>
    <fill>
      <patternFill patternType="gray125"/>
    </fill>
    <fill>
      <patternFill patternType="solid">
        <fgColor rgb="FFD0D0D0"/>
      </patternFill>
    </fill>
    <fill>
      <patternFill patternType="solid">
        <fgColor rgb="FFF5F5F5"/>
      </patternFill>
    </fill>
    <fill>
      <patternFill patternType="solid">
        <fgColor rgb="FFE0F0FF"/>
      </patternFill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0" fontId="0" fillId="3" borderId="0" xfId="0" applyFill="1" applyAlignment="1">
      <alignment horizontal="left"/>
    </xf>
    <xf numFmtId="164" fontId="0" fillId="3" borderId="0" xfId="0" applyNumberFormat="1" applyFill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4" fontId="0" fillId="4" borderId="0" xfId="0" applyNumberFormat="1" applyFill="1"/>
    <xf numFmtId="164" fontId="0" fillId="0" borderId="0" xfId="0" applyNumberFormat="1"/>
    <xf numFmtId="164" fontId="5" fillId="0" borderId="0" xfId="0" applyNumberFormat="1" applyFont="1"/>
    <xf numFmtId="0" fontId="5" fillId="5" borderId="0" xfId="0" applyFont="1" applyFill="1"/>
    <xf numFmtId="165" fontId="0" fillId="0" borderId="0" xfId="0" applyNumberFormat="1"/>
    <xf numFmtId="9" fontId="0" fillId="0" borderId="0" xfId="0" applyNumberFormat="1"/>
    <xf numFmtId="0" fontId="5" fillId="0" borderId="0" xfId="0" applyFont="1"/>
    <xf numFmtId="165" fontId="5" fillId="0" borderId="0" xfId="0" applyNumberFormat="1" applyFont="1"/>
    <xf numFmtId="166" fontId="0" fillId="0" borderId="0" xfId="0" applyNumberFormat="1"/>
    <xf numFmtId="0" fontId="6" fillId="0" borderId="0" xfId="0" applyFont="1"/>
  </cellXfs>
  <cellStyles count="1">
    <cellStyle name="Normal" xfId="0" builtinId="0"/>
  </cellStyles>
  <dxfs count="51">
    <dxf>
      <fill>
        <patternFill patternType="solid">
          <bgColor rgb="FFFF6B6B"/>
        </patternFill>
      </fill>
    </dxf>
    <dxf>
      <fill>
        <patternFill patternType="solid">
          <bgColor rgb="FFFFA500"/>
        </patternFill>
      </fill>
    </dxf>
    <dxf>
      <fill>
        <patternFill patternType="solid">
          <bgColor rgb="FF4ECDC4"/>
        </patternFill>
      </fill>
    </dxf>
    <dxf>
      <fill>
        <patternFill patternType="solid">
          <bgColor rgb="FFFF6B6B"/>
        </patternFill>
      </fill>
    </dxf>
    <dxf>
      <fill>
        <patternFill patternType="solid">
          <bgColor rgb="FFFFA500"/>
        </patternFill>
      </fill>
    </dxf>
    <dxf>
      <fill>
        <patternFill patternType="solid">
          <bgColor rgb="FF4ECDC4"/>
        </patternFill>
      </fill>
    </dxf>
    <dxf>
      <fill>
        <patternFill patternType="solid">
          <bgColor rgb="FFFF6B6B"/>
        </patternFill>
      </fill>
    </dxf>
    <dxf>
      <fill>
        <patternFill patternType="solid">
          <bgColor rgb="FFFFA500"/>
        </patternFill>
      </fill>
    </dxf>
    <dxf>
      <fill>
        <patternFill patternType="solid">
          <bgColor rgb="FF4ECDC4"/>
        </patternFill>
      </fill>
    </dxf>
    <dxf>
      <fill>
        <patternFill patternType="solid">
          <bgColor rgb="FFFF6B6B"/>
        </patternFill>
      </fill>
    </dxf>
    <dxf>
      <fill>
        <patternFill patternType="solid">
          <bgColor rgb="FFFFA500"/>
        </patternFill>
      </fill>
    </dxf>
    <dxf>
      <fill>
        <patternFill patternType="solid">
          <bgColor rgb="FF4ECDC4"/>
        </patternFill>
      </fill>
    </dxf>
    <dxf>
      <fill>
        <patternFill patternType="solid">
          <bgColor rgb="FFFF6B6B"/>
        </patternFill>
      </fill>
    </dxf>
    <dxf>
      <fill>
        <patternFill patternType="solid">
          <bgColor rgb="FFFFA500"/>
        </patternFill>
      </fill>
    </dxf>
    <dxf>
      <fill>
        <patternFill patternType="solid">
          <bgColor rgb="FF4ECDC4"/>
        </patternFill>
      </fill>
    </dxf>
    <dxf>
      <fill>
        <patternFill patternType="solid">
          <bgColor rgb="FFFF6B6B"/>
        </patternFill>
      </fill>
    </dxf>
    <dxf>
      <fill>
        <patternFill patternType="solid">
          <bgColor rgb="FFFFA500"/>
        </patternFill>
      </fill>
    </dxf>
    <dxf>
      <fill>
        <patternFill patternType="solid">
          <bgColor rgb="FF4ECDC4"/>
        </patternFill>
      </fill>
    </dxf>
    <dxf>
      <fill>
        <patternFill patternType="solid">
          <bgColor rgb="FFFF6B6B"/>
        </patternFill>
      </fill>
    </dxf>
    <dxf>
      <fill>
        <patternFill patternType="solid">
          <bgColor rgb="FFFFA500"/>
        </patternFill>
      </fill>
    </dxf>
    <dxf>
      <fill>
        <patternFill patternType="solid">
          <bgColor rgb="FF4ECDC4"/>
        </patternFill>
      </fill>
    </dxf>
    <dxf>
      <fill>
        <patternFill patternType="solid">
          <bgColor rgb="FFFF6B6B"/>
        </patternFill>
      </fill>
    </dxf>
    <dxf>
      <fill>
        <patternFill patternType="solid">
          <bgColor rgb="FFFFA500"/>
        </patternFill>
      </fill>
    </dxf>
    <dxf>
      <fill>
        <patternFill patternType="solid">
          <bgColor rgb="FF4ECDC4"/>
        </patternFill>
      </fill>
    </dxf>
    <dxf>
      <fill>
        <patternFill patternType="solid">
          <bgColor rgb="FFFF6B6B"/>
        </patternFill>
      </fill>
    </dxf>
    <dxf>
      <fill>
        <patternFill patternType="solid">
          <bgColor rgb="FFFFA500"/>
        </patternFill>
      </fill>
    </dxf>
    <dxf>
      <fill>
        <patternFill patternType="solid">
          <bgColor rgb="FF4ECDC4"/>
        </patternFill>
      </fill>
    </dxf>
    <dxf>
      <fill>
        <patternFill patternType="solid">
          <bgColor rgb="FFFF6B6B"/>
        </patternFill>
      </fill>
    </dxf>
    <dxf>
      <fill>
        <patternFill patternType="solid">
          <bgColor rgb="FFFFA500"/>
        </patternFill>
      </fill>
    </dxf>
    <dxf>
      <fill>
        <patternFill patternType="solid">
          <bgColor rgb="FF4ECDC4"/>
        </patternFill>
      </fill>
    </dxf>
    <dxf>
      <fill>
        <patternFill patternType="solid">
          <bgColor rgb="FFFF6B6B"/>
        </patternFill>
      </fill>
    </dxf>
    <dxf>
      <fill>
        <patternFill patternType="solid">
          <bgColor rgb="FFFFA500"/>
        </patternFill>
      </fill>
    </dxf>
    <dxf>
      <fill>
        <patternFill patternType="solid">
          <bgColor rgb="FF4ECDC4"/>
        </patternFill>
      </fill>
    </dxf>
    <dxf>
      <fill>
        <patternFill patternType="solid">
          <bgColor rgb="FFFF6B6B"/>
        </patternFill>
      </fill>
    </dxf>
    <dxf>
      <fill>
        <patternFill patternType="solid">
          <bgColor rgb="FFFFA500"/>
        </patternFill>
      </fill>
    </dxf>
    <dxf>
      <fill>
        <patternFill patternType="solid">
          <bgColor rgb="FF4ECDC4"/>
        </patternFill>
      </fill>
    </dxf>
    <dxf>
      <fill>
        <patternFill patternType="solid">
          <bgColor rgb="FFFF6B6B"/>
        </patternFill>
      </fill>
    </dxf>
    <dxf>
      <fill>
        <patternFill patternType="solid">
          <bgColor rgb="FFFFA500"/>
        </patternFill>
      </fill>
    </dxf>
    <dxf>
      <fill>
        <patternFill patternType="solid">
          <bgColor rgb="FF4ECDC4"/>
        </patternFill>
      </fill>
    </dxf>
    <dxf>
      <fill>
        <patternFill patternType="solid">
          <bgColor rgb="FFFF6B6B"/>
        </patternFill>
      </fill>
    </dxf>
    <dxf>
      <fill>
        <patternFill patternType="solid">
          <bgColor rgb="FFFFA500"/>
        </patternFill>
      </fill>
    </dxf>
    <dxf>
      <fill>
        <patternFill patternType="solid">
          <bgColor rgb="FF4ECDC4"/>
        </patternFill>
      </fill>
    </dxf>
    <dxf>
      <fill>
        <patternFill patternType="solid">
          <bgColor rgb="FFFF6B6B"/>
        </patternFill>
      </fill>
    </dxf>
    <dxf>
      <fill>
        <patternFill patternType="solid">
          <bgColor rgb="FFFFA500"/>
        </patternFill>
      </fill>
    </dxf>
    <dxf>
      <fill>
        <patternFill patternType="solid">
          <bgColor rgb="FF4ECDC4"/>
        </patternFill>
      </fill>
    </dxf>
    <dxf>
      <fill>
        <patternFill patternType="solid">
          <bgColor rgb="FFFF6B6B"/>
        </patternFill>
      </fill>
    </dxf>
    <dxf>
      <fill>
        <patternFill patternType="solid">
          <bgColor rgb="FFFFA500"/>
        </patternFill>
      </fill>
    </dxf>
    <dxf>
      <fill>
        <patternFill patternType="solid">
          <bgColor rgb="FF4ECDC4"/>
        </patternFill>
      </fill>
    </dxf>
    <dxf>
      <fill>
        <patternFill patternType="solid">
          <bgColor rgb="FFFF6B6B"/>
        </patternFill>
      </fill>
    </dxf>
    <dxf>
      <fill>
        <patternFill patternType="solid">
          <bgColor rgb="FFFFA500"/>
        </patternFill>
      </fill>
    </dxf>
    <dxf>
      <fill>
        <patternFill patternType="solid">
          <bgColor rgb="FF4ECDC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7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Scenario A - 3K&apos;!A1" TargetMode="External"/><Relationship Id="rId2" Type="http://schemas.openxmlformats.org/officeDocument/2006/relationships/hyperlink" Target="#&apos;Scenario B - 6K&apos;!A1" TargetMode="External"/><Relationship Id="rId3" Type="http://schemas.openxmlformats.org/officeDocument/2006/relationships/hyperlink" Target="#&apos;Scenario C - 9K&apos;!A1" TargetMode="External"/><Relationship Id="rId4" Type="http://schemas.openxmlformats.org/officeDocument/2006/relationships/hyperlink" Target="#&apos;Scenario D - 12K&apos;!A1" TargetMode="External"/><Relationship Id="rId5" Type="http://schemas.openxmlformats.org/officeDocument/2006/relationships/hyperlink" Target="#&apos;Scenario E - 18K&apos;!A1" TargetMode="External"/><Relationship Id="rId6" Type="http://schemas.openxmlformats.org/officeDocument/2006/relationships/hyperlink" Target="#&apos;Constants&apos;!A1" TargetMode="External"/><Relationship Id="rId7" Type="http://schemas.openxmlformats.org/officeDocument/2006/relationships/comments" Target="../comments7.xml"/><Relationship Id="rId8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1"/>
  <sheetFormatPr defaultRowHeight="15" outlineLevelRow="0" outlineLevelCol="0" x14ac:dyDescent="55"/>
  <cols>
    <col min="1" max="1" width="25" customWidth="1"/>
    <col min="2" max="2" width="15" customWidth="1"/>
    <col min="3" max="3" width="10" customWidth="1"/>
    <col min="4" max="4" width="15" customWidth="1"/>
  </cols>
  <sheetData>
    <row r="1" spans="1:4" x14ac:dyDescent="0.25">
      <c r="A1" s="3" t="s">
        <v>57</v>
      </c>
      <c r="B1" s="3"/>
      <c r="C1" s="3"/>
      <c r="D1" s="3"/>
    </row>
    <row r="2" spans="1:1" x14ac:dyDescent="0.25">
      <c r="A2" s="22" t="s">
        <v>58</v>
      </c>
    </row>
    <row r="4" spans="1:1" x14ac:dyDescent="0.25">
      <c r="A4" s="19" t="s">
        <v>59</v>
      </c>
    </row>
    <row r="5" spans="1:2" x14ac:dyDescent="0.25">
      <c r="A5" t="s">
        <v>60</v>
      </c>
      <c r="B5" s="14">
        <v>428.4</v>
      </c>
    </row>
    <row r="6" spans="1:2" x14ac:dyDescent="0.25">
      <c r="A6" t="s">
        <v>36</v>
      </c>
      <c r="B6" s="14">
        <f>RETA_MONTHLY*12</f>
      </c>
    </row>
    <row r="8" spans="1:1" x14ac:dyDescent="0.25">
      <c r="A8" s="19" t="s">
        <v>61</v>
      </c>
    </row>
    <row r="9" spans="1:2" x14ac:dyDescent="0.25">
      <c r="A9" t="s">
        <v>50</v>
      </c>
      <c r="B9" s="17">
        <v>5550</v>
      </c>
    </row>
    <row r="10" spans="1:2" x14ac:dyDescent="0.25">
      <c r="A10" t="s">
        <v>62</v>
      </c>
      <c r="B10" s="17">
        <v>2400</v>
      </c>
    </row>
    <row r="12" spans="1:1" x14ac:dyDescent="0.25">
      <c r="A12" s="19" t="s">
        <v>63</v>
      </c>
    </row>
    <row r="13" spans="1:2" x14ac:dyDescent="0.25">
      <c r="A13" t="s">
        <v>64</v>
      </c>
      <c r="B13" s="21">
        <v>0.05</v>
      </c>
    </row>
    <row r="14" spans="1:2" x14ac:dyDescent="0.25">
      <c r="A14" t="s">
        <v>65</v>
      </c>
      <c r="B14" s="17">
        <v>2000</v>
      </c>
    </row>
    <row r="16" spans="1:1" x14ac:dyDescent="0.25">
      <c r="A16" s="19" t="s">
        <v>66</v>
      </c>
    </row>
    <row r="17" spans="1:2" x14ac:dyDescent="0.25">
      <c r="A17" t="s">
        <v>67</v>
      </c>
      <c r="B17" s="17">
        <v>1727</v>
      </c>
    </row>
    <row r="19" spans="1:1" x14ac:dyDescent="0.25">
      <c r="A19" s="19" t="s">
        <v>68</v>
      </c>
    </row>
    <row r="20" spans="1:4" x14ac:dyDescent="0.25">
      <c r="A20" s="16" t="s">
        <v>41</v>
      </c>
      <c r="B20" s="16" t="s">
        <v>42</v>
      </c>
      <c r="C20" s="16" t="s">
        <v>43</v>
      </c>
      <c r="D20" s="16" t="s">
        <v>69</v>
      </c>
    </row>
    <row r="21" spans="1:4" x14ac:dyDescent="0.25">
      <c r="A21" s="17">
        <v>0</v>
      </c>
      <c r="B21" s="17">
        <v>12450</v>
      </c>
      <c r="C21" s="18">
        <v>0.19</v>
      </c>
      <c r="D21" s="14">
        <v>0</v>
      </c>
    </row>
    <row r="22" spans="1:4" x14ac:dyDescent="0.25">
      <c r="A22" s="17">
        <v>12450</v>
      </c>
      <c r="B22" s="17">
        <v>20200</v>
      </c>
      <c r="C22" s="18">
        <v>0.24</v>
      </c>
      <c r="D22" s="14">
        <v>2365.5</v>
      </c>
    </row>
    <row r="23" spans="1:4" x14ac:dyDescent="0.25">
      <c r="A23" s="17">
        <v>20200</v>
      </c>
      <c r="B23" s="17">
        <v>35200</v>
      </c>
      <c r="C23" s="18">
        <v>0.3</v>
      </c>
      <c r="D23" s="14">
        <v>4225.5</v>
      </c>
    </row>
    <row r="24" spans="1:4" x14ac:dyDescent="0.25">
      <c r="A24" s="17">
        <v>35200</v>
      </c>
      <c r="B24" s="17">
        <v>60000</v>
      </c>
      <c r="C24" s="18">
        <v>0.37</v>
      </c>
      <c r="D24" s="14">
        <v>8725.5</v>
      </c>
    </row>
    <row r="25" spans="1:4" x14ac:dyDescent="0.25">
      <c r="A25" s="17">
        <v>60000</v>
      </c>
      <c r="B25" s="17">
        <v>300000</v>
      </c>
      <c r="C25" s="18">
        <v>0.45</v>
      </c>
      <c r="D25" s="14">
        <v>17901.5</v>
      </c>
    </row>
    <row r="26" spans="1:4" x14ac:dyDescent="0.25">
      <c r="A26" s="17">
        <v>300000</v>
      </c>
      <c r="B26" t="s">
        <v>46</v>
      </c>
      <c r="C26" s="18">
        <v>0.47</v>
      </c>
      <c r="D26" s="14">
        <v>125901.5</v>
      </c>
    </row>
    <row r="28" spans="1:1" x14ac:dyDescent="0.25">
      <c r="A28" s="19" t="s">
        <v>70</v>
      </c>
    </row>
    <row r="29" spans="1:1" x14ac:dyDescent="0.25">
      <c r="A29" s="22" t="s">
        <v>71</v>
      </c>
    </row>
    <row r="30" spans="1:1" x14ac:dyDescent="0.25">
      <c r="A30" s="22" t="s">
        <v>72</v>
      </c>
    </row>
    <row r="31" spans="1:1" x14ac:dyDescent="0.25">
      <c r="A31" s="22" t="s">
        <v>73</v>
      </c>
    </row>
  </sheetData>
  <sheetProtection sheet="1"/>
  <mergeCells count="1">
    <mergeCell ref="A1:D1"/>
  </mergeCells>
  <pageMargins left="0.75" right="0.75" top="0.75" bottom="0.75" header="0.3" footer="0.3"/>
  <pageSetup orientation="portrait" fitToWidth="1" fitToHeight="0"/>
  <headerFooter>
    <oddHeader>&amp;C&amp;"Arial,Bold"Fiscal Constants 2025/2026</oddHeader>
    <oddFooter>&amp;LPage &amp;P&amp;R&amp;D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3"/>
  <sheetFormatPr defaultRowHeight="15" outlineLevelRow="0" outlineLevelCol="0" x14ac:dyDescent="55"/>
  <cols>
    <col min="1" max="1" width="30" customWidth="1"/>
    <col min="2" max="2" width="15" customWidth="1"/>
    <col min="3" max="3" width="10" customWidth="1"/>
    <col min="4" max="5" width="15" customWidth="1"/>
  </cols>
  <sheetData>
    <row r="1" spans="1:3" x14ac:dyDescent="0.25">
      <c r="A1" s="3" t="s">
        <v>30</v>
      </c>
      <c r="B1" s="3"/>
      <c r="C1" s="3"/>
    </row>
    <row r="3" spans="1:2" x14ac:dyDescent="0.25">
      <c r="A3" t="s">
        <v>16</v>
      </c>
      <c r="B3" s="13">
        <v>3000</v>
      </c>
    </row>
    <row r="4" spans="1:2" x14ac:dyDescent="0.25">
      <c r="A4" t="s">
        <v>17</v>
      </c>
      <c r="B4" s="13">
        <v>750</v>
      </c>
    </row>
    <row r="5" spans="1:2" x14ac:dyDescent="0.25">
      <c r="A5" t="s">
        <v>18</v>
      </c>
      <c r="B5" s="13">
        <v>1000</v>
      </c>
    </row>
    <row r="6" spans="1:2" x14ac:dyDescent="0.25">
      <c r="A6" t="s">
        <v>31</v>
      </c>
      <c r="B6" s="13">
        <v>383</v>
      </c>
    </row>
    <row r="8" spans="1:3" x14ac:dyDescent="0.25">
      <c r="A8" s="3" t="s">
        <v>32</v>
      </c>
      <c r="B8" s="3"/>
      <c r="C8" s="3"/>
    </row>
    <row r="10" spans="1:2" x14ac:dyDescent="0.25">
      <c r="A10" t="s">
        <v>20</v>
      </c>
      <c r="B10" s="14">
        <f>B3*12</f>
      </c>
    </row>
    <row r="11" spans="1:2" x14ac:dyDescent="0.25">
      <c r="A11" t="s">
        <v>33</v>
      </c>
      <c r="B11" s="14">
        <f>B4*12</f>
      </c>
    </row>
    <row r="12" spans="1:2" x14ac:dyDescent="0.25">
      <c r="A12" t="s">
        <v>34</v>
      </c>
      <c r="B12" s="14">
        <f>B5*12</f>
      </c>
    </row>
    <row r="13" spans="1:2" x14ac:dyDescent="0.25">
      <c r="A13" t="s">
        <v>35</v>
      </c>
      <c r="B13" s="14">
        <f>B6*12</f>
      </c>
    </row>
    <row r="14" spans="1:2" x14ac:dyDescent="0.25">
      <c r="A14" t="s">
        <v>36</v>
      </c>
      <c r="B14" s="14">
        <f>RETA_ANNUAL</f>
      </c>
    </row>
    <row r="15" spans="1:2" x14ac:dyDescent="0.25">
      <c r="A15" t="s">
        <v>21</v>
      </c>
      <c r="B15" s="15">
        <f>SUM(B11:B14)</f>
      </c>
    </row>
    <row r="16" spans="1:2" x14ac:dyDescent="0.25">
      <c r="A16" t="s">
        <v>37</v>
      </c>
      <c r="B16" s="15">
        <f>B10-B15</f>
      </c>
    </row>
    <row r="18" spans="1:3" x14ac:dyDescent="0.25">
      <c r="A18" s="3" t="s">
        <v>38</v>
      </c>
      <c r="B18" s="3"/>
      <c r="C18" s="3"/>
    </row>
    <row r="20" spans="1:2" x14ac:dyDescent="0.25">
      <c r="A20" t="s">
        <v>37</v>
      </c>
      <c r="B20" s="14">
        <f>B16</f>
      </c>
    </row>
    <row r="21" spans="1:2" x14ac:dyDescent="0.25">
      <c r="A21" t="s">
        <v>39</v>
      </c>
      <c r="B21" s="14">
        <f>MIN(MAX(0,B16)*GASTOS_DIFICIL_RATE,GASTOS_DIFICIL_MAX)</f>
      </c>
    </row>
    <row r="22" spans="1:2" x14ac:dyDescent="0.25">
      <c r="A22" t="s">
        <v>22</v>
      </c>
      <c r="B22" s="15">
        <f>MAX(0,B16-B21)</f>
      </c>
    </row>
    <row r="24" spans="1:5" x14ac:dyDescent="0.25">
      <c r="A24" s="3" t="s">
        <v>40</v>
      </c>
      <c r="B24" s="3"/>
      <c r="C24" s="3"/>
      <c r="D24" s="3"/>
      <c r="E24" s="3"/>
    </row>
    <row r="25" spans="1:5" x14ac:dyDescent="0.25">
      <c r="A25" s="16" t="s">
        <v>41</v>
      </c>
      <c r="B25" s="16" t="s">
        <v>42</v>
      </c>
      <c r="C25" s="16" t="s">
        <v>43</v>
      </c>
      <c r="D25" s="16" t="s">
        <v>44</v>
      </c>
      <c r="E25" s="16" t="s">
        <v>45</v>
      </c>
    </row>
    <row r="26" spans="1:5" x14ac:dyDescent="0.25">
      <c r="A26" s="17">
        <v>0</v>
      </c>
      <c r="B26" s="17">
        <v>12450</v>
      </c>
      <c r="C26" s="18">
        <v>0.19</v>
      </c>
      <c r="D26" s="14">
        <f>MAX(0,MIN($B$22,12450)-0)</f>
      </c>
      <c r="E26" s="14">
        <f>D26*C26</f>
      </c>
    </row>
    <row r="27" spans="1:5" x14ac:dyDescent="0.25">
      <c r="A27" s="17">
        <v>12450</v>
      </c>
      <c r="B27" s="17">
        <v>20200</v>
      </c>
      <c r="C27" s="18">
        <v>0.24</v>
      </c>
      <c r="D27" s="14">
        <f>MAX(0,MIN($B$22,20200)-12450)</f>
      </c>
      <c r="E27" s="14">
        <f>D27*C27</f>
      </c>
    </row>
    <row r="28" spans="1:5" x14ac:dyDescent="0.25">
      <c r="A28" s="17">
        <v>20200</v>
      </c>
      <c r="B28" s="17">
        <v>35200</v>
      </c>
      <c r="C28" s="18">
        <v>0.3</v>
      </c>
      <c r="D28" s="14">
        <f>MAX(0,MIN($B$22,35200)-20200)</f>
      </c>
      <c r="E28" s="14">
        <f>D28*C28</f>
      </c>
    </row>
    <row r="29" spans="1:5" x14ac:dyDescent="0.25">
      <c r="A29" s="17">
        <v>35200</v>
      </c>
      <c r="B29" s="17">
        <v>60000</v>
      </c>
      <c r="C29" s="18">
        <v>0.37</v>
      </c>
      <c r="D29" s="14">
        <f>MAX(0,MIN($B$22,60000)-35200)</f>
      </c>
      <c r="E29" s="14">
        <f>D29*C29</f>
      </c>
    </row>
    <row r="30" spans="1:5" x14ac:dyDescent="0.25">
      <c r="A30" s="17">
        <v>60000</v>
      </c>
      <c r="B30" s="17">
        <v>300000</v>
      </c>
      <c r="C30" s="18">
        <v>0.45</v>
      </c>
      <c r="D30" s="14">
        <f>MAX(0,MIN($B$22,300000)-60000)</f>
      </c>
      <c r="E30" s="14">
        <f>D30*C30</f>
      </c>
    </row>
    <row r="31" spans="1:5" x14ac:dyDescent="0.25">
      <c r="A31" s="17">
        <v>300000</v>
      </c>
      <c r="B31" t="s">
        <v>46</v>
      </c>
      <c r="C31" s="18">
        <v>0.47</v>
      </c>
      <c r="D31" s="14">
        <f>MAX(0,MIN($B$22,999999999)-300000)</f>
      </c>
      <c r="E31" s="14">
        <f>D31*C31</f>
      </c>
    </row>
    <row r="32" spans="1:5" x14ac:dyDescent="0.25">
      <c r="A32" s="19" t="s">
        <v>47</v>
      </c>
      <c r="E32" s="15">
        <f>SUM(E26:E31)</f>
      </c>
    </row>
    <row r="34" spans="1:3" x14ac:dyDescent="0.25">
      <c r="A34" s="3" t="s">
        <v>48</v>
      </c>
      <c r="B34" s="3"/>
      <c r="C34" s="3"/>
    </row>
    <row r="36" spans="1:2" x14ac:dyDescent="0.25">
      <c r="A36" t="s">
        <v>22</v>
      </c>
      <c r="B36" s="14">
        <f>B22</f>
      </c>
    </row>
    <row r="37" spans="1:2" x14ac:dyDescent="0.25">
      <c r="A37" t="s">
        <v>49</v>
      </c>
      <c r="B37" s="14">
        <f>E32</f>
      </c>
    </row>
    <row r="38" spans="1:2" x14ac:dyDescent="0.25">
      <c r="A38" t="s">
        <v>50</v>
      </c>
      <c r="B38" s="17">
        <f>MINIMO_PERSONAL</f>
      </c>
    </row>
    <row r="39" spans="1:2" x14ac:dyDescent="0.25">
      <c r="A39" t="s">
        <v>51</v>
      </c>
      <c r="B39" s="17">
        <f>MINIMO_DESCENDIENTES</f>
      </c>
    </row>
    <row r="40" spans="1:2" x14ac:dyDescent="0.25">
      <c r="A40" t="s">
        <v>52</v>
      </c>
      <c r="B40" s="20">
        <f>B38+B39</f>
      </c>
    </row>
    <row r="41" spans="1:2" x14ac:dyDescent="0.25">
      <c r="A41" t="s">
        <v>53</v>
      </c>
      <c r="B41" s="14">
        <f>B40*0.19</f>
      </c>
    </row>
    <row r="42" spans="1:2" x14ac:dyDescent="0.25">
      <c r="A42" t="s">
        <v>54</v>
      </c>
      <c r="B42" s="15">
        <f>MAX(0,B37-B41)</f>
      </c>
    </row>
    <row r="43" spans="1:2" x14ac:dyDescent="0.25">
      <c r="A43" t="s">
        <v>55</v>
      </c>
      <c r="B43" s="15">
        <f>B42</f>
      </c>
    </row>
    <row r="45" spans="1:3" x14ac:dyDescent="0.25">
      <c r="A45" s="3" t="s">
        <v>56</v>
      </c>
      <c r="B45" s="3"/>
      <c r="C45" s="3"/>
    </row>
    <row r="47" spans="1:2" x14ac:dyDescent="0.25">
      <c r="A47" t="s">
        <v>23</v>
      </c>
      <c r="B47" s="14">
        <f>B43</f>
      </c>
    </row>
    <row r="48" spans="1:2" x14ac:dyDescent="0.25">
      <c r="A48" t="s">
        <v>24</v>
      </c>
      <c r="B48" s="14">
        <f>B47/12</f>
      </c>
    </row>
    <row r="49" spans="1:2" x14ac:dyDescent="0.25">
      <c r="A49" t="s">
        <v>26</v>
      </c>
      <c r="B49" s="15">
        <f>B10-B15-B47</f>
      </c>
    </row>
    <row r="50" spans="1:2" x14ac:dyDescent="0.25">
      <c r="A50" t="s">
        <v>27</v>
      </c>
      <c r="B50" s="15">
        <f>B49/12</f>
      </c>
    </row>
    <row r="51" spans="1:2" x14ac:dyDescent="0.25">
      <c r="A51" t="s">
        <v>28</v>
      </c>
      <c r="B51" s="15">
        <f>B49-(PRIVATE_COSTS*12)</f>
      </c>
    </row>
    <row r="52" spans="1:2" x14ac:dyDescent="0.25">
      <c r="A52" t="s">
        <v>29</v>
      </c>
      <c r="B52" s="15">
        <f>B51/12</f>
      </c>
    </row>
    <row r="53" spans="1:2" x14ac:dyDescent="0.25">
      <c r="A53" t="s">
        <v>25</v>
      </c>
      <c r="B53" s="21">
        <f>IFERROR(B47/B16,0)</f>
      </c>
    </row>
  </sheetData>
  <mergeCells count="6">
    <mergeCell ref="A1:C1"/>
    <mergeCell ref="A8:C8"/>
    <mergeCell ref="A18:C18"/>
    <mergeCell ref="A24:E24"/>
    <mergeCell ref="A34:C34"/>
    <mergeCell ref="A45:C45"/>
  </mergeCells>
  <conditionalFormatting sqref="B51">
    <cfRule type="cellIs" dxfId="6" priority="1" operator="lessThan">
      <formula>0</formula>
    </cfRule>
    <cfRule type="cellIs" dxfId="7" priority="2" operator="between">
      <formula>0</formula>
      <formula>500</formula>
    </cfRule>
    <cfRule type="cellIs" dxfId="8" priority="3" operator="greaterThanOrEqual">
      <formula>500</formula>
    </cfRule>
  </conditionalFormatting>
  <conditionalFormatting sqref="B52">
    <cfRule type="cellIs" dxfId="9" priority="4" operator="lessThan">
      <formula>0</formula>
    </cfRule>
    <cfRule type="cellIs" dxfId="10" priority="5" operator="between">
      <formula>0</formula>
      <formula>500</formula>
    </cfRule>
    <cfRule type="cellIs" dxfId="11" priority="6" operator="greaterThanOrEqual">
      <formula>500</formula>
    </cfRule>
  </conditionalFormatting>
  <conditionalFormatting sqref="B53">
    <cfRule type="cellIs" dxfId="12" priority="7" operator="greaterThan">
      <formula>0.4</formula>
    </cfRule>
    <cfRule type="cellIs" dxfId="13" priority="8" operator="between">
      <formula>0.3</formula>
      <formula>0.4</formula>
    </cfRule>
    <cfRule type="cellIs" dxfId="14" priority="9" operator="lessThan">
      <formula>0.3</formula>
    </cfRule>
  </conditionalFormatting>
  <dataValidations count="1">
    <dataValidation type="list" sqref="B5">
      <formula1>"1000,2500"</formula1>
    </dataValidation>
  </dataValidations>
  <pageMargins left="0.75" right="0.75" top="0.75" bottom="0.75" header="0.3" footer="0.3"/>
  <pageSetup orientation="portrait" fitToWidth="1" fitToHeight="0"/>
  <headerFooter>
    <oddHeader>&amp;C&amp;"Arial,Bold"Scenario A - 3K | Spanish Autonomo Tax Calculator</oddHeader>
    <oddFooter>&amp;LPage &amp;P&amp;R&amp;D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3"/>
  <sheetFormatPr defaultRowHeight="15" outlineLevelRow="0" outlineLevelCol="0" x14ac:dyDescent="55"/>
  <cols>
    <col min="1" max="1" width="30" customWidth="1"/>
    <col min="2" max="2" width="15" customWidth="1"/>
    <col min="3" max="3" width="10" customWidth="1"/>
    <col min="4" max="5" width="15" customWidth="1"/>
  </cols>
  <sheetData>
    <row r="1" spans="1:3" x14ac:dyDescent="0.25">
      <c r="A1" s="3" t="s">
        <v>30</v>
      </c>
      <c r="B1" s="3"/>
      <c r="C1" s="3"/>
    </row>
    <row r="3" spans="1:2" x14ac:dyDescent="0.25">
      <c r="A3" t="s">
        <v>16</v>
      </c>
      <c r="B3" s="13">
        <v>6000</v>
      </c>
    </row>
    <row r="4" spans="1:2" x14ac:dyDescent="0.25">
      <c r="A4" t="s">
        <v>17</v>
      </c>
      <c r="B4" s="13">
        <v>1500</v>
      </c>
    </row>
    <row r="5" spans="1:2" x14ac:dyDescent="0.25">
      <c r="A5" t="s">
        <v>18</v>
      </c>
      <c r="B5" s="13">
        <v>1000</v>
      </c>
    </row>
    <row r="6" spans="1:2" x14ac:dyDescent="0.25">
      <c r="A6" t="s">
        <v>31</v>
      </c>
      <c r="B6" s="13">
        <v>383</v>
      </c>
    </row>
    <row r="8" spans="1:3" x14ac:dyDescent="0.25">
      <c r="A8" s="3" t="s">
        <v>32</v>
      </c>
      <c r="B8" s="3"/>
      <c r="C8" s="3"/>
    </row>
    <row r="10" spans="1:2" x14ac:dyDescent="0.25">
      <c r="A10" t="s">
        <v>20</v>
      </c>
      <c r="B10" s="14">
        <f>B3*12</f>
      </c>
    </row>
    <row r="11" spans="1:2" x14ac:dyDescent="0.25">
      <c r="A11" t="s">
        <v>33</v>
      </c>
      <c r="B11" s="14">
        <f>B4*12</f>
      </c>
    </row>
    <row r="12" spans="1:2" x14ac:dyDescent="0.25">
      <c r="A12" t="s">
        <v>34</v>
      </c>
      <c r="B12" s="14">
        <f>B5*12</f>
      </c>
    </row>
    <row r="13" spans="1:2" x14ac:dyDescent="0.25">
      <c r="A13" t="s">
        <v>35</v>
      </c>
      <c r="B13" s="14">
        <f>B6*12</f>
      </c>
    </row>
    <row r="14" spans="1:2" x14ac:dyDescent="0.25">
      <c r="A14" t="s">
        <v>36</v>
      </c>
      <c r="B14" s="14">
        <f>RETA_ANNUAL</f>
      </c>
    </row>
    <row r="15" spans="1:2" x14ac:dyDescent="0.25">
      <c r="A15" t="s">
        <v>21</v>
      </c>
      <c r="B15" s="15">
        <f>SUM(B11:B14)</f>
      </c>
    </row>
    <row r="16" spans="1:2" x14ac:dyDescent="0.25">
      <c r="A16" t="s">
        <v>37</v>
      </c>
      <c r="B16" s="15">
        <f>B10-B15</f>
      </c>
    </row>
    <row r="18" spans="1:3" x14ac:dyDescent="0.25">
      <c r="A18" s="3" t="s">
        <v>38</v>
      </c>
      <c r="B18" s="3"/>
      <c r="C18" s="3"/>
    </row>
    <row r="20" spans="1:2" x14ac:dyDescent="0.25">
      <c r="A20" t="s">
        <v>37</v>
      </c>
      <c r="B20" s="14">
        <f>B16</f>
      </c>
    </row>
    <row r="21" spans="1:2" x14ac:dyDescent="0.25">
      <c r="A21" t="s">
        <v>39</v>
      </c>
      <c r="B21" s="14">
        <f>MIN(MAX(0,B16)*GASTOS_DIFICIL_RATE,GASTOS_DIFICIL_MAX)</f>
      </c>
    </row>
    <row r="22" spans="1:2" x14ac:dyDescent="0.25">
      <c r="A22" t="s">
        <v>22</v>
      </c>
      <c r="B22" s="15">
        <f>MAX(0,B16-B21)</f>
      </c>
    </row>
    <row r="24" spans="1:5" x14ac:dyDescent="0.25">
      <c r="A24" s="3" t="s">
        <v>40</v>
      </c>
      <c r="B24" s="3"/>
      <c r="C24" s="3"/>
      <c r="D24" s="3"/>
      <c r="E24" s="3"/>
    </row>
    <row r="25" spans="1:5" x14ac:dyDescent="0.25">
      <c r="A25" s="16" t="s">
        <v>41</v>
      </c>
      <c r="B25" s="16" t="s">
        <v>42</v>
      </c>
      <c r="C25" s="16" t="s">
        <v>43</v>
      </c>
      <c r="D25" s="16" t="s">
        <v>44</v>
      </c>
      <c r="E25" s="16" t="s">
        <v>45</v>
      </c>
    </row>
    <row r="26" spans="1:5" x14ac:dyDescent="0.25">
      <c r="A26" s="17">
        <v>0</v>
      </c>
      <c r="B26" s="17">
        <v>12450</v>
      </c>
      <c r="C26" s="18">
        <v>0.19</v>
      </c>
      <c r="D26" s="14">
        <f>MAX(0,MIN($B$22,12450)-0)</f>
      </c>
      <c r="E26" s="14">
        <f>D26*C26</f>
      </c>
    </row>
    <row r="27" spans="1:5" x14ac:dyDescent="0.25">
      <c r="A27" s="17">
        <v>12450</v>
      </c>
      <c r="B27" s="17">
        <v>20200</v>
      </c>
      <c r="C27" s="18">
        <v>0.24</v>
      </c>
      <c r="D27" s="14">
        <f>MAX(0,MIN($B$22,20200)-12450)</f>
      </c>
      <c r="E27" s="14">
        <f>D27*C27</f>
      </c>
    </row>
    <row r="28" spans="1:5" x14ac:dyDescent="0.25">
      <c r="A28" s="17">
        <v>20200</v>
      </c>
      <c r="B28" s="17">
        <v>35200</v>
      </c>
      <c r="C28" s="18">
        <v>0.3</v>
      </c>
      <c r="D28" s="14">
        <f>MAX(0,MIN($B$22,35200)-20200)</f>
      </c>
      <c r="E28" s="14">
        <f>D28*C28</f>
      </c>
    </row>
    <row r="29" spans="1:5" x14ac:dyDescent="0.25">
      <c r="A29" s="17">
        <v>35200</v>
      </c>
      <c r="B29" s="17">
        <v>60000</v>
      </c>
      <c r="C29" s="18">
        <v>0.37</v>
      </c>
      <c r="D29" s="14">
        <f>MAX(0,MIN($B$22,60000)-35200)</f>
      </c>
      <c r="E29" s="14">
        <f>D29*C29</f>
      </c>
    </row>
    <row r="30" spans="1:5" x14ac:dyDescent="0.25">
      <c r="A30" s="17">
        <v>60000</v>
      </c>
      <c r="B30" s="17">
        <v>300000</v>
      </c>
      <c r="C30" s="18">
        <v>0.45</v>
      </c>
      <c r="D30" s="14">
        <f>MAX(0,MIN($B$22,300000)-60000)</f>
      </c>
      <c r="E30" s="14">
        <f>D30*C30</f>
      </c>
    </row>
    <row r="31" spans="1:5" x14ac:dyDescent="0.25">
      <c r="A31" s="17">
        <v>300000</v>
      </c>
      <c r="B31" t="s">
        <v>46</v>
      </c>
      <c r="C31" s="18">
        <v>0.47</v>
      </c>
      <c r="D31" s="14">
        <f>MAX(0,MIN($B$22,999999999)-300000)</f>
      </c>
      <c r="E31" s="14">
        <f>D31*C31</f>
      </c>
    </row>
    <row r="32" spans="1:5" x14ac:dyDescent="0.25">
      <c r="A32" s="19" t="s">
        <v>47</v>
      </c>
      <c r="E32" s="15">
        <f>SUM(E26:E31)</f>
      </c>
    </row>
    <row r="34" spans="1:3" x14ac:dyDescent="0.25">
      <c r="A34" s="3" t="s">
        <v>48</v>
      </c>
      <c r="B34" s="3"/>
      <c r="C34" s="3"/>
    </row>
    <row r="36" spans="1:2" x14ac:dyDescent="0.25">
      <c r="A36" t="s">
        <v>22</v>
      </c>
      <c r="B36" s="14">
        <f>B22</f>
      </c>
    </row>
    <row r="37" spans="1:2" x14ac:dyDescent="0.25">
      <c r="A37" t="s">
        <v>49</v>
      </c>
      <c r="B37" s="14">
        <f>E32</f>
      </c>
    </row>
    <row r="38" spans="1:2" x14ac:dyDescent="0.25">
      <c r="A38" t="s">
        <v>50</v>
      </c>
      <c r="B38" s="17">
        <f>MINIMO_PERSONAL</f>
      </c>
    </row>
    <row r="39" spans="1:2" x14ac:dyDescent="0.25">
      <c r="A39" t="s">
        <v>51</v>
      </c>
      <c r="B39" s="17">
        <f>MINIMO_DESCENDIENTES</f>
      </c>
    </row>
    <row r="40" spans="1:2" x14ac:dyDescent="0.25">
      <c r="A40" t="s">
        <v>52</v>
      </c>
      <c r="B40" s="20">
        <f>B38+B39</f>
      </c>
    </row>
    <row r="41" spans="1:2" x14ac:dyDescent="0.25">
      <c r="A41" t="s">
        <v>53</v>
      </c>
      <c r="B41" s="14">
        <f>B40*0.19</f>
      </c>
    </row>
    <row r="42" spans="1:2" x14ac:dyDescent="0.25">
      <c r="A42" t="s">
        <v>54</v>
      </c>
      <c r="B42" s="15">
        <f>MAX(0,B37-B41)</f>
      </c>
    </row>
    <row r="43" spans="1:2" x14ac:dyDescent="0.25">
      <c r="A43" t="s">
        <v>55</v>
      </c>
      <c r="B43" s="15">
        <f>B42</f>
      </c>
    </row>
    <row r="45" spans="1:3" x14ac:dyDescent="0.25">
      <c r="A45" s="3" t="s">
        <v>56</v>
      </c>
      <c r="B45" s="3"/>
      <c r="C45" s="3"/>
    </row>
    <row r="47" spans="1:2" x14ac:dyDescent="0.25">
      <c r="A47" t="s">
        <v>23</v>
      </c>
      <c r="B47" s="14">
        <f>B43</f>
      </c>
    </row>
    <row r="48" spans="1:2" x14ac:dyDescent="0.25">
      <c r="A48" t="s">
        <v>24</v>
      </c>
      <c r="B48" s="14">
        <f>B47/12</f>
      </c>
    </row>
    <row r="49" spans="1:2" x14ac:dyDescent="0.25">
      <c r="A49" t="s">
        <v>26</v>
      </c>
      <c r="B49" s="15">
        <f>B10-B15-B47</f>
      </c>
    </row>
    <row r="50" spans="1:2" x14ac:dyDescent="0.25">
      <c r="A50" t="s">
        <v>27</v>
      </c>
      <c r="B50" s="15">
        <f>B49/12</f>
      </c>
    </row>
    <row r="51" spans="1:2" x14ac:dyDescent="0.25">
      <c r="A51" t="s">
        <v>28</v>
      </c>
      <c r="B51" s="15">
        <f>B49-(PRIVATE_COSTS*12)</f>
      </c>
    </row>
    <row r="52" spans="1:2" x14ac:dyDescent="0.25">
      <c r="A52" t="s">
        <v>29</v>
      </c>
      <c r="B52" s="15">
        <f>B51/12</f>
      </c>
    </row>
    <row r="53" spans="1:2" x14ac:dyDescent="0.25">
      <c r="A53" t="s">
        <v>25</v>
      </c>
      <c r="B53" s="21">
        <f>IFERROR(B47/B16,0)</f>
      </c>
    </row>
  </sheetData>
  <mergeCells count="6">
    <mergeCell ref="A1:C1"/>
    <mergeCell ref="A8:C8"/>
    <mergeCell ref="A18:C18"/>
    <mergeCell ref="A24:E24"/>
    <mergeCell ref="A34:C34"/>
    <mergeCell ref="A45:C45"/>
  </mergeCells>
  <conditionalFormatting sqref="B51">
    <cfRule type="cellIs" dxfId="15" priority="1" operator="lessThan">
      <formula>0</formula>
    </cfRule>
    <cfRule type="cellIs" dxfId="16" priority="2" operator="between">
      <formula>0</formula>
      <formula>500</formula>
    </cfRule>
    <cfRule type="cellIs" dxfId="17" priority="3" operator="greaterThanOrEqual">
      <formula>500</formula>
    </cfRule>
  </conditionalFormatting>
  <conditionalFormatting sqref="B52">
    <cfRule type="cellIs" dxfId="18" priority="4" operator="lessThan">
      <formula>0</formula>
    </cfRule>
    <cfRule type="cellIs" dxfId="19" priority="5" operator="between">
      <formula>0</formula>
      <formula>500</formula>
    </cfRule>
    <cfRule type="cellIs" dxfId="20" priority="6" operator="greaterThanOrEqual">
      <formula>500</formula>
    </cfRule>
  </conditionalFormatting>
  <conditionalFormatting sqref="B53">
    <cfRule type="cellIs" dxfId="21" priority="7" operator="greaterThan">
      <formula>0.4</formula>
    </cfRule>
    <cfRule type="cellIs" dxfId="22" priority="8" operator="between">
      <formula>0.3</formula>
      <formula>0.4</formula>
    </cfRule>
    <cfRule type="cellIs" dxfId="23" priority="9" operator="lessThan">
      <formula>0.3</formula>
    </cfRule>
  </conditionalFormatting>
  <dataValidations count="1">
    <dataValidation type="list" sqref="B5">
      <formula1>"1000,2500"</formula1>
    </dataValidation>
  </dataValidations>
  <pageMargins left="0.75" right="0.75" top="0.75" bottom="0.75" header="0.3" footer="0.3"/>
  <pageSetup orientation="portrait" fitToWidth="1" fitToHeight="0"/>
  <headerFooter>
    <oddHeader>&amp;C&amp;"Arial,Bold"Scenario B - 6K | Spanish Autonomo Tax Calculator</oddHeader>
    <oddFooter>&amp;LPage &amp;P&amp;R&amp;D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3"/>
  <sheetFormatPr defaultRowHeight="15" outlineLevelRow="0" outlineLevelCol="0" x14ac:dyDescent="55"/>
  <cols>
    <col min="1" max="1" width="30" customWidth="1"/>
    <col min="2" max="2" width="15" customWidth="1"/>
    <col min="3" max="3" width="10" customWidth="1"/>
    <col min="4" max="5" width="15" customWidth="1"/>
  </cols>
  <sheetData>
    <row r="1" spans="1:3" x14ac:dyDescent="0.25">
      <c r="A1" s="3" t="s">
        <v>30</v>
      </c>
      <c r="B1" s="3"/>
      <c r="C1" s="3"/>
    </row>
    <row r="3" spans="1:2" x14ac:dyDescent="0.25">
      <c r="A3" t="s">
        <v>16</v>
      </c>
      <c r="B3" s="13">
        <v>9000</v>
      </c>
    </row>
    <row r="4" spans="1:2" x14ac:dyDescent="0.25">
      <c r="A4" t="s">
        <v>17</v>
      </c>
      <c r="B4" s="13">
        <v>3000</v>
      </c>
    </row>
    <row r="5" spans="1:2" x14ac:dyDescent="0.25">
      <c r="A5" t="s">
        <v>18</v>
      </c>
      <c r="B5" s="13">
        <v>2500</v>
      </c>
    </row>
    <row r="6" spans="1:2" x14ac:dyDescent="0.25">
      <c r="A6" t="s">
        <v>31</v>
      </c>
      <c r="B6" s="13">
        <v>383</v>
      </c>
    </row>
    <row r="8" spans="1:3" x14ac:dyDescent="0.25">
      <c r="A8" s="3" t="s">
        <v>32</v>
      </c>
      <c r="B8" s="3"/>
      <c r="C8" s="3"/>
    </row>
    <row r="10" spans="1:2" x14ac:dyDescent="0.25">
      <c r="A10" t="s">
        <v>20</v>
      </c>
      <c r="B10" s="14">
        <f>B3*12</f>
      </c>
    </row>
    <row r="11" spans="1:2" x14ac:dyDescent="0.25">
      <c r="A11" t="s">
        <v>33</v>
      </c>
      <c r="B11" s="14">
        <f>B4*12</f>
      </c>
    </row>
    <row r="12" spans="1:2" x14ac:dyDescent="0.25">
      <c r="A12" t="s">
        <v>34</v>
      </c>
      <c r="B12" s="14">
        <f>B5*12</f>
      </c>
    </row>
    <row r="13" spans="1:2" x14ac:dyDescent="0.25">
      <c r="A13" t="s">
        <v>35</v>
      </c>
      <c r="B13" s="14">
        <f>B6*12</f>
      </c>
    </row>
    <row r="14" spans="1:2" x14ac:dyDescent="0.25">
      <c r="A14" t="s">
        <v>36</v>
      </c>
      <c r="B14" s="14">
        <f>RETA_ANNUAL</f>
      </c>
    </row>
    <row r="15" spans="1:2" x14ac:dyDescent="0.25">
      <c r="A15" t="s">
        <v>21</v>
      </c>
      <c r="B15" s="15">
        <f>SUM(B11:B14)</f>
      </c>
    </row>
    <row r="16" spans="1:2" x14ac:dyDescent="0.25">
      <c r="A16" t="s">
        <v>37</v>
      </c>
      <c r="B16" s="15">
        <f>B10-B15</f>
      </c>
    </row>
    <row r="18" spans="1:3" x14ac:dyDescent="0.25">
      <c r="A18" s="3" t="s">
        <v>38</v>
      </c>
      <c r="B18" s="3"/>
      <c r="C18" s="3"/>
    </row>
    <row r="20" spans="1:2" x14ac:dyDescent="0.25">
      <c r="A20" t="s">
        <v>37</v>
      </c>
      <c r="B20" s="14">
        <f>B16</f>
      </c>
    </row>
    <row r="21" spans="1:2" x14ac:dyDescent="0.25">
      <c r="A21" t="s">
        <v>39</v>
      </c>
      <c r="B21" s="14">
        <f>MIN(MAX(0,B16)*GASTOS_DIFICIL_RATE,GASTOS_DIFICIL_MAX)</f>
      </c>
    </row>
    <row r="22" spans="1:2" x14ac:dyDescent="0.25">
      <c r="A22" t="s">
        <v>22</v>
      </c>
      <c r="B22" s="15">
        <f>MAX(0,B16-B21)</f>
      </c>
    </row>
    <row r="24" spans="1:5" x14ac:dyDescent="0.25">
      <c r="A24" s="3" t="s">
        <v>40</v>
      </c>
      <c r="B24" s="3"/>
      <c r="C24" s="3"/>
      <c r="D24" s="3"/>
      <c r="E24" s="3"/>
    </row>
    <row r="25" spans="1:5" x14ac:dyDescent="0.25">
      <c r="A25" s="16" t="s">
        <v>41</v>
      </c>
      <c r="B25" s="16" t="s">
        <v>42</v>
      </c>
      <c r="C25" s="16" t="s">
        <v>43</v>
      </c>
      <c r="D25" s="16" t="s">
        <v>44</v>
      </c>
      <c r="E25" s="16" t="s">
        <v>45</v>
      </c>
    </row>
    <row r="26" spans="1:5" x14ac:dyDescent="0.25">
      <c r="A26" s="17">
        <v>0</v>
      </c>
      <c r="B26" s="17">
        <v>12450</v>
      </c>
      <c r="C26" s="18">
        <v>0.19</v>
      </c>
      <c r="D26" s="14">
        <f>MAX(0,MIN($B$22,12450)-0)</f>
      </c>
      <c r="E26" s="14">
        <f>D26*C26</f>
      </c>
    </row>
    <row r="27" spans="1:5" x14ac:dyDescent="0.25">
      <c r="A27" s="17">
        <v>12450</v>
      </c>
      <c r="B27" s="17">
        <v>20200</v>
      </c>
      <c r="C27" s="18">
        <v>0.24</v>
      </c>
      <c r="D27" s="14">
        <f>MAX(0,MIN($B$22,20200)-12450)</f>
      </c>
      <c r="E27" s="14">
        <f>D27*C27</f>
      </c>
    </row>
    <row r="28" spans="1:5" x14ac:dyDescent="0.25">
      <c r="A28" s="17">
        <v>20200</v>
      </c>
      <c r="B28" s="17">
        <v>35200</v>
      </c>
      <c r="C28" s="18">
        <v>0.3</v>
      </c>
      <c r="D28" s="14">
        <f>MAX(0,MIN($B$22,35200)-20200)</f>
      </c>
      <c r="E28" s="14">
        <f>D28*C28</f>
      </c>
    </row>
    <row r="29" spans="1:5" x14ac:dyDescent="0.25">
      <c r="A29" s="17">
        <v>35200</v>
      </c>
      <c r="B29" s="17">
        <v>60000</v>
      </c>
      <c r="C29" s="18">
        <v>0.37</v>
      </c>
      <c r="D29" s="14">
        <f>MAX(0,MIN($B$22,60000)-35200)</f>
      </c>
      <c r="E29" s="14">
        <f>D29*C29</f>
      </c>
    </row>
    <row r="30" spans="1:5" x14ac:dyDescent="0.25">
      <c r="A30" s="17">
        <v>60000</v>
      </c>
      <c r="B30" s="17">
        <v>300000</v>
      </c>
      <c r="C30" s="18">
        <v>0.45</v>
      </c>
      <c r="D30" s="14">
        <f>MAX(0,MIN($B$22,300000)-60000)</f>
      </c>
      <c r="E30" s="14">
        <f>D30*C30</f>
      </c>
    </row>
    <row r="31" spans="1:5" x14ac:dyDescent="0.25">
      <c r="A31" s="17">
        <v>300000</v>
      </c>
      <c r="B31" t="s">
        <v>46</v>
      </c>
      <c r="C31" s="18">
        <v>0.47</v>
      </c>
      <c r="D31" s="14">
        <f>MAX(0,MIN($B$22,999999999)-300000)</f>
      </c>
      <c r="E31" s="14">
        <f>D31*C31</f>
      </c>
    </row>
    <row r="32" spans="1:5" x14ac:dyDescent="0.25">
      <c r="A32" s="19" t="s">
        <v>47</v>
      </c>
      <c r="E32" s="15">
        <f>SUM(E26:E31)</f>
      </c>
    </row>
    <row r="34" spans="1:3" x14ac:dyDescent="0.25">
      <c r="A34" s="3" t="s">
        <v>48</v>
      </c>
      <c r="B34" s="3"/>
      <c r="C34" s="3"/>
    </row>
    <row r="36" spans="1:2" x14ac:dyDescent="0.25">
      <c r="A36" t="s">
        <v>22</v>
      </c>
      <c r="B36" s="14">
        <f>B22</f>
      </c>
    </row>
    <row r="37" spans="1:2" x14ac:dyDescent="0.25">
      <c r="A37" t="s">
        <v>49</v>
      </c>
      <c r="B37" s="14">
        <f>E32</f>
      </c>
    </row>
    <row r="38" spans="1:2" x14ac:dyDescent="0.25">
      <c r="A38" t="s">
        <v>50</v>
      </c>
      <c r="B38" s="17">
        <f>MINIMO_PERSONAL</f>
      </c>
    </row>
    <row r="39" spans="1:2" x14ac:dyDescent="0.25">
      <c r="A39" t="s">
        <v>51</v>
      </c>
      <c r="B39" s="17">
        <f>MINIMO_DESCENDIENTES</f>
      </c>
    </row>
    <row r="40" spans="1:2" x14ac:dyDescent="0.25">
      <c r="A40" t="s">
        <v>52</v>
      </c>
      <c r="B40" s="20">
        <f>B38+B39</f>
      </c>
    </row>
    <row r="41" spans="1:2" x14ac:dyDescent="0.25">
      <c r="A41" t="s">
        <v>53</v>
      </c>
      <c r="B41" s="14">
        <f>B40*0.19</f>
      </c>
    </row>
    <row r="42" spans="1:2" x14ac:dyDescent="0.25">
      <c r="A42" t="s">
        <v>54</v>
      </c>
      <c r="B42" s="15">
        <f>MAX(0,B37-B41)</f>
      </c>
    </row>
    <row r="43" spans="1:2" x14ac:dyDescent="0.25">
      <c r="A43" t="s">
        <v>55</v>
      </c>
      <c r="B43" s="15">
        <f>B42</f>
      </c>
    </row>
    <row r="45" spans="1:3" x14ac:dyDescent="0.25">
      <c r="A45" s="3" t="s">
        <v>56</v>
      </c>
      <c r="B45" s="3"/>
      <c r="C45" s="3"/>
    </row>
    <row r="47" spans="1:2" x14ac:dyDescent="0.25">
      <c r="A47" t="s">
        <v>23</v>
      </c>
      <c r="B47" s="14">
        <f>B43</f>
      </c>
    </row>
    <row r="48" spans="1:2" x14ac:dyDescent="0.25">
      <c r="A48" t="s">
        <v>24</v>
      </c>
      <c r="B48" s="14">
        <f>B47/12</f>
      </c>
    </row>
    <row r="49" spans="1:2" x14ac:dyDescent="0.25">
      <c r="A49" t="s">
        <v>26</v>
      </c>
      <c r="B49" s="15">
        <f>B10-B15-B47</f>
      </c>
    </row>
    <row r="50" spans="1:2" x14ac:dyDescent="0.25">
      <c r="A50" t="s">
        <v>27</v>
      </c>
      <c r="B50" s="15">
        <f>B49/12</f>
      </c>
    </row>
    <row r="51" spans="1:2" x14ac:dyDescent="0.25">
      <c r="A51" t="s">
        <v>28</v>
      </c>
      <c r="B51" s="15">
        <f>B49-(PRIVATE_COSTS*12)</f>
      </c>
    </row>
    <row r="52" spans="1:2" x14ac:dyDescent="0.25">
      <c r="A52" t="s">
        <v>29</v>
      </c>
      <c r="B52" s="15">
        <f>B51/12</f>
      </c>
    </row>
    <row r="53" spans="1:2" x14ac:dyDescent="0.25">
      <c r="A53" t="s">
        <v>25</v>
      </c>
      <c r="B53" s="21">
        <f>IFERROR(B47/B16,0)</f>
      </c>
    </row>
  </sheetData>
  <mergeCells count="6">
    <mergeCell ref="A1:C1"/>
    <mergeCell ref="A8:C8"/>
    <mergeCell ref="A18:C18"/>
    <mergeCell ref="A24:E24"/>
    <mergeCell ref="A34:C34"/>
    <mergeCell ref="A45:C45"/>
  </mergeCells>
  <conditionalFormatting sqref="B51">
    <cfRule type="cellIs" dxfId="24" priority="1" operator="lessThan">
      <formula>0</formula>
    </cfRule>
    <cfRule type="cellIs" dxfId="25" priority="2" operator="between">
      <formula>0</formula>
      <formula>500</formula>
    </cfRule>
    <cfRule type="cellIs" dxfId="26" priority="3" operator="greaterThanOrEqual">
      <formula>500</formula>
    </cfRule>
  </conditionalFormatting>
  <conditionalFormatting sqref="B52">
    <cfRule type="cellIs" dxfId="27" priority="4" operator="lessThan">
      <formula>0</formula>
    </cfRule>
    <cfRule type="cellIs" dxfId="28" priority="5" operator="between">
      <formula>0</formula>
      <formula>500</formula>
    </cfRule>
    <cfRule type="cellIs" dxfId="29" priority="6" operator="greaterThanOrEqual">
      <formula>500</formula>
    </cfRule>
  </conditionalFormatting>
  <conditionalFormatting sqref="B53">
    <cfRule type="cellIs" dxfId="30" priority="7" operator="greaterThan">
      <formula>0.4</formula>
    </cfRule>
    <cfRule type="cellIs" dxfId="31" priority="8" operator="between">
      <formula>0.3</formula>
      <formula>0.4</formula>
    </cfRule>
    <cfRule type="cellIs" dxfId="32" priority="9" operator="lessThan">
      <formula>0.3</formula>
    </cfRule>
  </conditionalFormatting>
  <dataValidations count="1">
    <dataValidation type="list" sqref="B5">
      <formula1>"1000,2500"</formula1>
    </dataValidation>
  </dataValidations>
  <pageMargins left="0.75" right="0.75" top="0.75" bottom="0.75" header="0.3" footer="0.3"/>
  <pageSetup orientation="portrait" fitToWidth="1" fitToHeight="0"/>
  <headerFooter>
    <oddHeader>&amp;C&amp;"Arial,Bold"Scenario C - 9K | Spanish Autonomo Tax Calculator</oddHeader>
    <oddFooter>&amp;LPage &amp;P&amp;R&amp;D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3"/>
  <sheetFormatPr defaultRowHeight="15" outlineLevelRow="0" outlineLevelCol="0" x14ac:dyDescent="55"/>
  <cols>
    <col min="1" max="1" width="30" customWidth="1"/>
    <col min="2" max="2" width="15" customWidth="1"/>
    <col min="3" max="3" width="10" customWidth="1"/>
    <col min="4" max="5" width="15" customWidth="1"/>
  </cols>
  <sheetData>
    <row r="1" spans="1:3" x14ac:dyDescent="0.25">
      <c r="A1" s="3" t="s">
        <v>30</v>
      </c>
      <c r="B1" s="3"/>
      <c r="C1" s="3"/>
    </row>
    <row r="3" spans="1:2" x14ac:dyDescent="0.25">
      <c r="A3" t="s">
        <v>16</v>
      </c>
      <c r="B3" s="13">
        <v>12000</v>
      </c>
    </row>
    <row r="4" spans="1:2" x14ac:dyDescent="0.25">
      <c r="A4" t="s">
        <v>17</v>
      </c>
      <c r="B4" s="13">
        <v>5000</v>
      </c>
    </row>
    <row r="5" spans="1:2" x14ac:dyDescent="0.25">
      <c r="A5" t="s">
        <v>18</v>
      </c>
      <c r="B5" s="13">
        <v>2500</v>
      </c>
    </row>
    <row r="6" spans="1:2" x14ac:dyDescent="0.25">
      <c r="A6" t="s">
        <v>31</v>
      </c>
      <c r="B6" s="13">
        <v>383</v>
      </c>
    </row>
    <row r="8" spans="1:3" x14ac:dyDescent="0.25">
      <c r="A8" s="3" t="s">
        <v>32</v>
      </c>
      <c r="B8" s="3"/>
      <c r="C8" s="3"/>
    </row>
    <row r="10" spans="1:2" x14ac:dyDescent="0.25">
      <c r="A10" t="s">
        <v>20</v>
      </c>
      <c r="B10" s="14">
        <f>B3*12</f>
      </c>
    </row>
    <row r="11" spans="1:2" x14ac:dyDescent="0.25">
      <c r="A11" t="s">
        <v>33</v>
      </c>
      <c r="B11" s="14">
        <f>B4*12</f>
      </c>
    </row>
    <row r="12" spans="1:2" x14ac:dyDescent="0.25">
      <c r="A12" t="s">
        <v>34</v>
      </c>
      <c r="B12" s="14">
        <f>B5*12</f>
      </c>
    </row>
    <row r="13" spans="1:2" x14ac:dyDescent="0.25">
      <c r="A13" t="s">
        <v>35</v>
      </c>
      <c r="B13" s="14">
        <f>B6*12</f>
      </c>
    </row>
    <row r="14" spans="1:2" x14ac:dyDescent="0.25">
      <c r="A14" t="s">
        <v>36</v>
      </c>
      <c r="B14" s="14">
        <f>RETA_ANNUAL</f>
      </c>
    </row>
    <row r="15" spans="1:2" x14ac:dyDescent="0.25">
      <c r="A15" t="s">
        <v>21</v>
      </c>
      <c r="B15" s="15">
        <f>SUM(B11:B14)</f>
      </c>
    </row>
    <row r="16" spans="1:2" x14ac:dyDescent="0.25">
      <c r="A16" t="s">
        <v>37</v>
      </c>
      <c r="B16" s="15">
        <f>B10-B15</f>
      </c>
    </row>
    <row r="18" spans="1:3" x14ac:dyDescent="0.25">
      <c r="A18" s="3" t="s">
        <v>38</v>
      </c>
      <c r="B18" s="3"/>
      <c r="C18" s="3"/>
    </row>
    <row r="20" spans="1:2" x14ac:dyDescent="0.25">
      <c r="A20" t="s">
        <v>37</v>
      </c>
      <c r="B20" s="14">
        <f>B16</f>
      </c>
    </row>
    <row r="21" spans="1:2" x14ac:dyDescent="0.25">
      <c r="A21" t="s">
        <v>39</v>
      </c>
      <c r="B21" s="14">
        <f>MIN(MAX(0,B16)*GASTOS_DIFICIL_RATE,GASTOS_DIFICIL_MAX)</f>
      </c>
    </row>
    <row r="22" spans="1:2" x14ac:dyDescent="0.25">
      <c r="A22" t="s">
        <v>22</v>
      </c>
      <c r="B22" s="15">
        <f>MAX(0,B16-B21)</f>
      </c>
    </row>
    <row r="24" spans="1:5" x14ac:dyDescent="0.25">
      <c r="A24" s="3" t="s">
        <v>40</v>
      </c>
      <c r="B24" s="3"/>
      <c r="C24" s="3"/>
      <c r="D24" s="3"/>
      <c r="E24" s="3"/>
    </row>
    <row r="25" spans="1:5" x14ac:dyDescent="0.25">
      <c r="A25" s="16" t="s">
        <v>41</v>
      </c>
      <c r="B25" s="16" t="s">
        <v>42</v>
      </c>
      <c r="C25" s="16" t="s">
        <v>43</v>
      </c>
      <c r="D25" s="16" t="s">
        <v>44</v>
      </c>
      <c r="E25" s="16" t="s">
        <v>45</v>
      </c>
    </row>
    <row r="26" spans="1:5" x14ac:dyDescent="0.25">
      <c r="A26" s="17">
        <v>0</v>
      </c>
      <c r="B26" s="17">
        <v>12450</v>
      </c>
      <c r="C26" s="18">
        <v>0.19</v>
      </c>
      <c r="D26" s="14">
        <f>MAX(0,MIN($B$22,12450)-0)</f>
      </c>
      <c r="E26" s="14">
        <f>D26*C26</f>
      </c>
    </row>
    <row r="27" spans="1:5" x14ac:dyDescent="0.25">
      <c r="A27" s="17">
        <v>12450</v>
      </c>
      <c r="B27" s="17">
        <v>20200</v>
      </c>
      <c r="C27" s="18">
        <v>0.24</v>
      </c>
      <c r="D27" s="14">
        <f>MAX(0,MIN($B$22,20200)-12450)</f>
      </c>
      <c r="E27" s="14">
        <f>D27*C27</f>
      </c>
    </row>
    <row r="28" spans="1:5" x14ac:dyDescent="0.25">
      <c r="A28" s="17">
        <v>20200</v>
      </c>
      <c r="B28" s="17">
        <v>35200</v>
      </c>
      <c r="C28" s="18">
        <v>0.3</v>
      </c>
      <c r="D28" s="14">
        <f>MAX(0,MIN($B$22,35200)-20200)</f>
      </c>
      <c r="E28" s="14">
        <f>D28*C28</f>
      </c>
    </row>
    <row r="29" spans="1:5" x14ac:dyDescent="0.25">
      <c r="A29" s="17">
        <v>35200</v>
      </c>
      <c r="B29" s="17">
        <v>60000</v>
      </c>
      <c r="C29" s="18">
        <v>0.37</v>
      </c>
      <c r="D29" s="14">
        <f>MAX(0,MIN($B$22,60000)-35200)</f>
      </c>
      <c r="E29" s="14">
        <f>D29*C29</f>
      </c>
    </row>
    <row r="30" spans="1:5" x14ac:dyDescent="0.25">
      <c r="A30" s="17">
        <v>60000</v>
      </c>
      <c r="B30" s="17">
        <v>300000</v>
      </c>
      <c r="C30" s="18">
        <v>0.45</v>
      </c>
      <c r="D30" s="14">
        <f>MAX(0,MIN($B$22,300000)-60000)</f>
      </c>
      <c r="E30" s="14">
        <f>D30*C30</f>
      </c>
    </row>
    <row r="31" spans="1:5" x14ac:dyDescent="0.25">
      <c r="A31" s="17">
        <v>300000</v>
      </c>
      <c r="B31" t="s">
        <v>46</v>
      </c>
      <c r="C31" s="18">
        <v>0.47</v>
      </c>
      <c r="D31" s="14">
        <f>MAX(0,MIN($B$22,999999999)-300000)</f>
      </c>
      <c r="E31" s="14">
        <f>D31*C31</f>
      </c>
    </row>
    <row r="32" spans="1:5" x14ac:dyDescent="0.25">
      <c r="A32" s="19" t="s">
        <v>47</v>
      </c>
      <c r="E32" s="15">
        <f>SUM(E26:E31)</f>
      </c>
    </row>
    <row r="34" spans="1:3" x14ac:dyDescent="0.25">
      <c r="A34" s="3" t="s">
        <v>48</v>
      </c>
      <c r="B34" s="3"/>
      <c r="C34" s="3"/>
    </row>
    <row r="36" spans="1:2" x14ac:dyDescent="0.25">
      <c r="A36" t="s">
        <v>22</v>
      </c>
      <c r="B36" s="14">
        <f>B22</f>
      </c>
    </row>
    <row r="37" spans="1:2" x14ac:dyDescent="0.25">
      <c r="A37" t="s">
        <v>49</v>
      </c>
      <c r="B37" s="14">
        <f>E32</f>
      </c>
    </row>
    <row r="38" spans="1:2" x14ac:dyDescent="0.25">
      <c r="A38" t="s">
        <v>50</v>
      </c>
      <c r="B38" s="17">
        <f>MINIMO_PERSONAL</f>
      </c>
    </row>
    <row r="39" spans="1:2" x14ac:dyDescent="0.25">
      <c r="A39" t="s">
        <v>51</v>
      </c>
      <c r="B39" s="17">
        <f>MINIMO_DESCENDIENTES</f>
      </c>
    </row>
    <row r="40" spans="1:2" x14ac:dyDescent="0.25">
      <c r="A40" t="s">
        <v>52</v>
      </c>
      <c r="B40" s="20">
        <f>B38+B39</f>
      </c>
    </row>
    <row r="41" spans="1:2" x14ac:dyDescent="0.25">
      <c r="A41" t="s">
        <v>53</v>
      </c>
      <c r="B41" s="14">
        <f>B40*0.19</f>
      </c>
    </row>
    <row r="42" spans="1:2" x14ac:dyDescent="0.25">
      <c r="A42" t="s">
        <v>54</v>
      </c>
      <c r="B42" s="15">
        <f>MAX(0,B37-B41)</f>
      </c>
    </row>
    <row r="43" spans="1:2" x14ac:dyDescent="0.25">
      <c r="A43" t="s">
        <v>55</v>
      </c>
      <c r="B43" s="15">
        <f>B42</f>
      </c>
    </row>
    <row r="45" spans="1:3" x14ac:dyDescent="0.25">
      <c r="A45" s="3" t="s">
        <v>56</v>
      </c>
      <c r="B45" s="3"/>
      <c r="C45" s="3"/>
    </row>
    <row r="47" spans="1:2" x14ac:dyDescent="0.25">
      <c r="A47" t="s">
        <v>23</v>
      </c>
      <c r="B47" s="14">
        <f>B43</f>
      </c>
    </row>
    <row r="48" spans="1:2" x14ac:dyDescent="0.25">
      <c r="A48" t="s">
        <v>24</v>
      </c>
      <c r="B48" s="14">
        <f>B47/12</f>
      </c>
    </row>
    <row r="49" spans="1:2" x14ac:dyDescent="0.25">
      <c r="A49" t="s">
        <v>26</v>
      </c>
      <c r="B49" s="15">
        <f>B10-B15-B47</f>
      </c>
    </row>
    <row r="50" spans="1:2" x14ac:dyDescent="0.25">
      <c r="A50" t="s">
        <v>27</v>
      </c>
      <c r="B50" s="15">
        <f>B49/12</f>
      </c>
    </row>
    <row r="51" spans="1:2" x14ac:dyDescent="0.25">
      <c r="A51" t="s">
        <v>28</v>
      </c>
      <c r="B51" s="15">
        <f>B49-(PRIVATE_COSTS*12)</f>
      </c>
    </row>
    <row r="52" spans="1:2" x14ac:dyDescent="0.25">
      <c r="A52" t="s">
        <v>29</v>
      </c>
      <c r="B52" s="15">
        <f>B51/12</f>
      </c>
    </row>
    <row r="53" spans="1:2" x14ac:dyDescent="0.25">
      <c r="A53" t="s">
        <v>25</v>
      </c>
      <c r="B53" s="21">
        <f>IFERROR(B47/B16,0)</f>
      </c>
    </row>
  </sheetData>
  <mergeCells count="6">
    <mergeCell ref="A1:C1"/>
    <mergeCell ref="A8:C8"/>
    <mergeCell ref="A18:C18"/>
    <mergeCell ref="A24:E24"/>
    <mergeCell ref="A34:C34"/>
    <mergeCell ref="A45:C45"/>
  </mergeCells>
  <conditionalFormatting sqref="B51">
    <cfRule type="cellIs" dxfId="33" priority="1" operator="lessThan">
      <formula>0</formula>
    </cfRule>
    <cfRule type="cellIs" dxfId="34" priority="2" operator="between">
      <formula>0</formula>
      <formula>500</formula>
    </cfRule>
    <cfRule type="cellIs" dxfId="35" priority="3" operator="greaterThanOrEqual">
      <formula>500</formula>
    </cfRule>
  </conditionalFormatting>
  <conditionalFormatting sqref="B52">
    <cfRule type="cellIs" dxfId="36" priority="4" operator="lessThan">
      <formula>0</formula>
    </cfRule>
    <cfRule type="cellIs" dxfId="37" priority="5" operator="between">
      <formula>0</formula>
      <formula>500</formula>
    </cfRule>
    <cfRule type="cellIs" dxfId="38" priority="6" operator="greaterThanOrEqual">
      <formula>500</formula>
    </cfRule>
  </conditionalFormatting>
  <conditionalFormatting sqref="B53">
    <cfRule type="cellIs" dxfId="39" priority="7" operator="greaterThan">
      <formula>0.4</formula>
    </cfRule>
    <cfRule type="cellIs" dxfId="40" priority="8" operator="between">
      <formula>0.3</formula>
      <formula>0.4</formula>
    </cfRule>
    <cfRule type="cellIs" dxfId="41" priority="9" operator="lessThan">
      <formula>0.3</formula>
    </cfRule>
  </conditionalFormatting>
  <dataValidations count="1">
    <dataValidation type="list" sqref="B5">
      <formula1>"1000,2500"</formula1>
    </dataValidation>
  </dataValidations>
  <pageMargins left="0.75" right="0.75" top="0.75" bottom="0.75" header="0.3" footer="0.3"/>
  <pageSetup orientation="portrait" fitToWidth="1" fitToHeight="0"/>
  <headerFooter>
    <oddHeader>&amp;C&amp;"Arial,Bold"Scenario D - 12K | Spanish Autonomo Tax Calculator</oddHeader>
    <oddFooter>&amp;LPage &amp;P&amp;R&amp;D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3"/>
  <sheetFormatPr defaultRowHeight="15" outlineLevelRow="0" outlineLevelCol="0" x14ac:dyDescent="55"/>
  <cols>
    <col min="1" max="1" width="30" customWidth="1"/>
    <col min="2" max="2" width="15" customWidth="1"/>
    <col min="3" max="3" width="10" customWidth="1"/>
    <col min="4" max="5" width="15" customWidth="1"/>
  </cols>
  <sheetData>
    <row r="1" spans="1:3" x14ac:dyDescent="0.25">
      <c r="A1" s="3" t="s">
        <v>30</v>
      </c>
      <c r="B1" s="3"/>
      <c r="C1" s="3"/>
    </row>
    <row r="3" spans="1:2" x14ac:dyDescent="0.25">
      <c r="A3" t="s">
        <v>16</v>
      </c>
      <c r="B3" s="13">
        <v>18000</v>
      </c>
    </row>
    <row r="4" spans="1:2" x14ac:dyDescent="0.25">
      <c r="A4" t="s">
        <v>17</v>
      </c>
      <c r="B4" s="13">
        <v>8000</v>
      </c>
    </row>
    <row r="5" spans="1:2" x14ac:dyDescent="0.25">
      <c r="A5" t="s">
        <v>18</v>
      </c>
      <c r="B5" s="13">
        <v>2500</v>
      </c>
    </row>
    <row r="6" spans="1:2" x14ac:dyDescent="0.25">
      <c r="A6" t="s">
        <v>31</v>
      </c>
      <c r="B6" s="13">
        <v>383</v>
      </c>
    </row>
    <row r="8" spans="1:3" x14ac:dyDescent="0.25">
      <c r="A8" s="3" t="s">
        <v>32</v>
      </c>
      <c r="B8" s="3"/>
      <c r="C8" s="3"/>
    </row>
    <row r="10" spans="1:2" x14ac:dyDescent="0.25">
      <c r="A10" t="s">
        <v>20</v>
      </c>
      <c r="B10" s="14">
        <f>B3*12</f>
      </c>
    </row>
    <row r="11" spans="1:2" x14ac:dyDescent="0.25">
      <c r="A11" t="s">
        <v>33</v>
      </c>
      <c r="B11" s="14">
        <f>B4*12</f>
      </c>
    </row>
    <row r="12" spans="1:2" x14ac:dyDescent="0.25">
      <c r="A12" t="s">
        <v>34</v>
      </c>
      <c r="B12" s="14">
        <f>B5*12</f>
      </c>
    </row>
    <row r="13" spans="1:2" x14ac:dyDescent="0.25">
      <c r="A13" t="s">
        <v>35</v>
      </c>
      <c r="B13" s="14">
        <f>B6*12</f>
      </c>
    </row>
    <row r="14" spans="1:2" x14ac:dyDescent="0.25">
      <c r="A14" t="s">
        <v>36</v>
      </c>
      <c r="B14" s="14">
        <f>RETA_ANNUAL</f>
      </c>
    </row>
    <row r="15" spans="1:2" x14ac:dyDescent="0.25">
      <c r="A15" t="s">
        <v>21</v>
      </c>
      <c r="B15" s="15">
        <f>SUM(B11:B14)</f>
      </c>
    </row>
    <row r="16" spans="1:2" x14ac:dyDescent="0.25">
      <c r="A16" t="s">
        <v>37</v>
      </c>
      <c r="B16" s="15">
        <f>B10-B15</f>
      </c>
    </row>
    <row r="18" spans="1:3" x14ac:dyDescent="0.25">
      <c r="A18" s="3" t="s">
        <v>38</v>
      </c>
      <c r="B18" s="3"/>
      <c r="C18" s="3"/>
    </row>
    <row r="20" spans="1:2" x14ac:dyDescent="0.25">
      <c r="A20" t="s">
        <v>37</v>
      </c>
      <c r="B20" s="14">
        <f>B16</f>
      </c>
    </row>
    <row r="21" spans="1:2" x14ac:dyDescent="0.25">
      <c r="A21" t="s">
        <v>39</v>
      </c>
      <c r="B21" s="14">
        <f>MIN(MAX(0,B16)*GASTOS_DIFICIL_RATE,GASTOS_DIFICIL_MAX)</f>
      </c>
    </row>
    <row r="22" spans="1:2" x14ac:dyDescent="0.25">
      <c r="A22" t="s">
        <v>22</v>
      </c>
      <c r="B22" s="15">
        <f>MAX(0,B16-B21)</f>
      </c>
    </row>
    <row r="24" spans="1:5" x14ac:dyDescent="0.25">
      <c r="A24" s="3" t="s">
        <v>40</v>
      </c>
      <c r="B24" s="3"/>
      <c r="C24" s="3"/>
      <c r="D24" s="3"/>
      <c r="E24" s="3"/>
    </row>
    <row r="25" spans="1:5" x14ac:dyDescent="0.25">
      <c r="A25" s="16" t="s">
        <v>41</v>
      </c>
      <c r="B25" s="16" t="s">
        <v>42</v>
      </c>
      <c r="C25" s="16" t="s">
        <v>43</v>
      </c>
      <c r="D25" s="16" t="s">
        <v>44</v>
      </c>
      <c r="E25" s="16" t="s">
        <v>45</v>
      </c>
    </row>
    <row r="26" spans="1:5" x14ac:dyDescent="0.25">
      <c r="A26" s="17">
        <v>0</v>
      </c>
      <c r="B26" s="17">
        <v>12450</v>
      </c>
      <c r="C26" s="18">
        <v>0.19</v>
      </c>
      <c r="D26" s="14">
        <f>MAX(0,MIN($B$22,12450)-0)</f>
      </c>
      <c r="E26" s="14">
        <f>D26*C26</f>
      </c>
    </row>
    <row r="27" spans="1:5" x14ac:dyDescent="0.25">
      <c r="A27" s="17">
        <v>12450</v>
      </c>
      <c r="B27" s="17">
        <v>20200</v>
      </c>
      <c r="C27" s="18">
        <v>0.24</v>
      </c>
      <c r="D27" s="14">
        <f>MAX(0,MIN($B$22,20200)-12450)</f>
      </c>
      <c r="E27" s="14">
        <f>D27*C27</f>
      </c>
    </row>
    <row r="28" spans="1:5" x14ac:dyDescent="0.25">
      <c r="A28" s="17">
        <v>20200</v>
      </c>
      <c r="B28" s="17">
        <v>35200</v>
      </c>
      <c r="C28" s="18">
        <v>0.3</v>
      </c>
      <c r="D28" s="14">
        <f>MAX(0,MIN($B$22,35200)-20200)</f>
      </c>
      <c r="E28" s="14">
        <f>D28*C28</f>
      </c>
    </row>
    <row r="29" spans="1:5" x14ac:dyDescent="0.25">
      <c r="A29" s="17">
        <v>35200</v>
      </c>
      <c r="B29" s="17">
        <v>60000</v>
      </c>
      <c r="C29" s="18">
        <v>0.37</v>
      </c>
      <c r="D29" s="14">
        <f>MAX(0,MIN($B$22,60000)-35200)</f>
      </c>
      <c r="E29" s="14">
        <f>D29*C29</f>
      </c>
    </row>
    <row r="30" spans="1:5" x14ac:dyDescent="0.25">
      <c r="A30" s="17">
        <v>60000</v>
      </c>
      <c r="B30" s="17">
        <v>300000</v>
      </c>
      <c r="C30" s="18">
        <v>0.45</v>
      </c>
      <c r="D30" s="14">
        <f>MAX(0,MIN($B$22,300000)-60000)</f>
      </c>
      <c r="E30" s="14">
        <f>D30*C30</f>
      </c>
    </row>
    <row r="31" spans="1:5" x14ac:dyDescent="0.25">
      <c r="A31" s="17">
        <v>300000</v>
      </c>
      <c r="B31" t="s">
        <v>46</v>
      </c>
      <c r="C31" s="18">
        <v>0.47</v>
      </c>
      <c r="D31" s="14">
        <f>MAX(0,MIN($B$22,999999999)-300000)</f>
      </c>
      <c r="E31" s="14">
        <f>D31*C31</f>
      </c>
    </row>
    <row r="32" spans="1:5" x14ac:dyDescent="0.25">
      <c r="A32" s="19" t="s">
        <v>47</v>
      </c>
      <c r="E32" s="15">
        <f>SUM(E26:E31)</f>
      </c>
    </row>
    <row r="34" spans="1:3" x14ac:dyDescent="0.25">
      <c r="A34" s="3" t="s">
        <v>48</v>
      </c>
      <c r="B34" s="3"/>
      <c r="C34" s="3"/>
    </row>
    <row r="36" spans="1:2" x14ac:dyDescent="0.25">
      <c r="A36" t="s">
        <v>22</v>
      </c>
      <c r="B36" s="14">
        <f>B22</f>
      </c>
    </row>
    <row r="37" spans="1:2" x14ac:dyDescent="0.25">
      <c r="A37" t="s">
        <v>49</v>
      </c>
      <c r="B37" s="14">
        <f>E32</f>
      </c>
    </row>
    <row r="38" spans="1:2" x14ac:dyDescent="0.25">
      <c r="A38" t="s">
        <v>50</v>
      </c>
      <c r="B38" s="17">
        <f>MINIMO_PERSONAL</f>
      </c>
    </row>
    <row r="39" spans="1:2" x14ac:dyDescent="0.25">
      <c r="A39" t="s">
        <v>51</v>
      </c>
      <c r="B39" s="17">
        <f>MINIMO_DESCENDIENTES</f>
      </c>
    </row>
    <row r="40" spans="1:2" x14ac:dyDescent="0.25">
      <c r="A40" t="s">
        <v>52</v>
      </c>
      <c r="B40" s="20">
        <f>B38+B39</f>
      </c>
    </row>
    <row r="41" spans="1:2" x14ac:dyDescent="0.25">
      <c r="A41" t="s">
        <v>53</v>
      </c>
      <c r="B41" s="14">
        <f>B40*0.19</f>
      </c>
    </row>
    <row r="42" spans="1:2" x14ac:dyDescent="0.25">
      <c r="A42" t="s">
        <v>54</v>
      </c>
      <c r="B42" s="15">
        <f>MAX(0,B37-B41)</f>
      </c>
    </row>
    <row r="43" spans="1:2" x14ac:dyDescent="0.25">
      <c r="A43" t="s">
        <v>55</v>
      </c>
      <c r="B43" s="15">
        <f>B42</f>
      </c>
    </row>
    <row r="45" spans="1:3" x14ac:dyDescent="0.25">
      <c r="A45" s="3" t="s">
        <v>56</v>
      </c>
      <c r="B45" s="3"/>
      <c r="C45" s="3"/>
    </row>
    <row r="47" spans="1:2" x14ac:dyDescent="0.25">
      <c r="A47" t="s">
        <v>23</v>
      </c>
      <c r="B47" s="14">
        <f>B43</f>
      </c>
    </row>
    <row r="48" spans="1:2" x14ac:dyDescent="0.25">
      <c r="A48" t="s">
        <v>24</v>
      </c>
      <c r="B48" s="14">
        <f>B47/12</f>
      </c>
    </row>
    <row r="49" spans="1:2" x14ac:dyDescent="0.25">
      <c r="A49" t="s">
        <v>26</v>
      </c>
      <c r="B49" s="15">
        <f>B10-B15-B47</f>
      </c>
    </row>
    <row r="50" spans="1:2" x14ac:dyDescent="0.25">
      <c r="A50" t="s">
        <v>27</v>
      </c>
      <c r="B50" s="15">
        <f>B49/12</f>
      </c>
    </row>
    <row r="51" spans="1:2" x14ac:dyDescent="0.25">
      <c r="A51" t="s">
        <v>28</v>
      </c>
      <c r="B51" s="15">
        <f>B49-(PRIVATE_COSTS*12)</f>
      </c>
    </row>
    <row r="52" spans="1:2" x14ac:dyDescent="0.25">
      <c r="A52" t="s">
        <v>29</v>
      </c>
      <c r="B52" s="15">
        <f>B51/12</f>
      </c>
    </row>
    <row r="53" spans="1:2" x14ac:dyDescent="0.25">
      <c r="A53" t="s">
        <v>25</v>
      </c>
      <c r="B53" s="21">
        <f>IFERROR(B47/B16,0)</f>
      </c>
    </row>
  </sheetData>
  <mergeCells count="6">
    <mergeCell ref="A1:C1"/>
    <mergeCell ref="A8:C8"/>
    <mergeCell ref="A18:C18"/>
    <mergeCell ref="A24:E24"/>
    <mergeCell ref="A34:C34"/>
    <mergeCell ref="A45:C45"/>
  </mergeCells>
  <conditionalFormatting sqref="B51">
    <cfRule type="cellIs" dxfId="42" priority="1" operator="lessThan">
      <formula>0</formula>
    </cfRule>
    <cfRule type="cellIs" dxfId="43" priority="2" operator="between">
      <formula>0</formula>
      <formula>500</formula>
    </cfRule>
    <cfRule type="cellIs" dxfId="44" priority="3" operator="greaterThanOrEqual">
      <formula>500</formula>
    </cfRule>
  </conditionalFormatting>
  <conditionalFormatting sqref="B52">
    <cfRule type="cellIs" dxfId="45" priority="4" operator="lessThan">
      <formula>0</formula>
    </cfRule>
    <cfRule type="cellIs" dxfId="46" priority="5" operator="between">
      <formula>0</formula>
      <formula>500</formula>
    </cfRule>
    <cfRule type="cellIs" dxfId="47" priority="6" operator="greaterThanOrEqual">
      <formula>500</formula>
    </cfRule>
  </conditionalFormatting>
  <conditionalFormatting sqref="B53">
    <cfRule type="cellIs" dxfId="48" priority="7" operator="greaterThan">
      <formula>0.4</formula>
    </cfRule>
    <cfRule type="cellIs" dxfId="49" priority="8" operator="between">
      <formula>0.3</formula>
      <formula>0.4</formula>
    </cfRule>
    <cfRule type="cellIs" dxfId="50" priority="9" operator="lessThan">
      <formula>0.3</formula>
    </cfRule>
  </conditionalFormatting>
  <dataValidations count="1">
    <dataValidation type="list" sqref="B5">
      <formula1>"1000,2500"</formula1>
    </dataValidation>
  </dataValidations>
  <pageMargins left="0.75" right="0.75" top="0.75" bottom="0.75" header="0.3" footer="0.3"/>
  <pageSetup orientation="portrait" fitToWidth="1" fitToHeight="0"/>
  <headerFooter>
    <oddHeader>&amp;C&amp;"Arial,Bold"Scenario E - 18K | Spanish Autonomo Tax Calculator</oddHeader>
    <oddFooter>&amp;LPage &amp;P&amp;R&amp;D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Views>
    <sheetView workbookViewId="0">
      <pane xSplit="1" ySplit="13" topLeftCell="B14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25" customWidth="1"/>
    <col min="2" max="6" width="1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spans="1:1" x14ac:dyDescent="0.25">
      <c r="A5" s="4" t="s">
        <v>3</v>
      </c>
    </row>
    <row r="6" spans="1:1" x14ac:dyDescent="0.25">
      <c r="A6" s="4" t="s">
        <v>4</v>
      </c>
    </row>
    <row r="7" spans="1:1" x14ac:dyDescent="0.25">
      <c r="A7" s="4" t="s">
        <v>5</v>
      </c>
    </row>
    <row r="8" spans="1:1" x14ac:dyDescent="0.25">
      <c r="A8" s="4" t="s">
        <v>6</v>
      </c>
    </row>
    <row r="9" spans="1:1" x14ac:dyDescent="0.25">
      <c r="A9" s="4" t="s">
        <v>7</v>
      </c>
    </row>
    <row r="10" spans="1:1" x14ac:dyDescent="0.25">
      <c r="A10" s="4" t="s">
        <v>8</v>
      </c>
    </row>
    <row r="12" spans="1:6" x14ac:dyDescent="0.25">
      <c r="A12" s="3" t="s">
        <v>9</v>
      </c>
      <c r="B12" s="3"/>
      <c r="C12" s="3"/>
      <c r="D12" s="3"/>
      <c r="E12" s="3"/>
      <c r="F12" s="3"/>
    </row>
    <row r="13" spans="1:6" x14ac:dyDescent="0.25">
      <c r="A13" s="5" t="s">
        <v>10</v>
      </c>
      <c r="B13" s="6" t="s">
        <v>11</v>
      </c>
      <c r="C13" s="6" t="s">
        <v>12</v>
      </c>
      <c r="D13" s="6" t="s">
        <v>13</v>
      </c>
      <c r="E13" s="6" t="s">
        <v>14</v>
      </c>
      <c r="F13" s="6" t="s">
        <v>15</v>
      </c>
    </row>
    <row r="14" spans="1:6" x14ac:dyDescent="0.25">
      <c r="A14" s="7" t="s">
        <v>16</v>
      </c>
      <c r="B14" s="8">
        <f>'Scenario A - 3K'!B3</f>
      </c>
      <c r="C14" s="8">
        <f>'Scenario B - 6K'!B3</f>
      </c>
      <c r="D14" s="8">
        <f>'Scenario C - 9K'!B3</f>
      </c>
      <c r="E14" s="8">
        <f>'Scenario D - 12K'!B3</f>
      </c>
      <c r="F14" s="8">
        <f>'Scenario E - 18K'!B3</f>
      </c>
    </row>
    <row r="15" spans="1:6" x14ac:dyDescent="0.25">
      <c r="A15" s="9" t="s">
        <v>17</v>
      </c>
      <c r="B15" s="10">
        <f>'Scenario A - 3K'!B4</f>
      </c>
      <c r="C15" s="10">
        <f>'Scenario B - 6K'!B4</f>
      </c>
      <c r="D15" s="10">
        <f>'Scenario C - 9K'!B4</f>
      </c>
      <c r="E15" s="10">
        <f>'Scenario D - 12K'!B4</f>
      </c>
      <c r="F15" s="10">
        <f>'Scenario E - 18K'!B4</f>
      </c>
    </row>
    <row r="16" spans="1:6" x14ac:dyDescent="0.25">
      <c r="A16" s="7" t="s">
        <v>18</v>
      </c>
      <c r="B16" s="11">
        <f>'Scenario A - 3K'!B5</f>
      </c>
      <c r="C16" s="11">
        <f>'Scenario B - 6K'!B5</f>
      </c>
      <c r="D16" s="11">
        <f>'Scenario C - 9K'!B5</f>
      </c>
      <c r="E16" s="11">
        <f>'Scenario D - 12K'!B5</f>
      </c>
      <c r="F16" s="11">
        <f>'Scenario E - 18K'!B5</f>
      </c>
    </row>
    <row r="17" spans="1:1" x14ac:dyDescent="0.25">
      <c r="A17" t="s">
        <v>19</v>
      </c>
    </row>
    <row r="18" spans="1:6" x14ac:dyDescent="0.25">
      <c r="A18" s="7" t="s">
        <v>20</v>
      </c>
      <c r="B18" s="8">
        <f>'Scenario A - 3K'!B10</f>
      </c>
      <c r="C18" s="8">
        <f>'Scenario B - 6K'!B10</f>
      </c>
      <c r="D18" s="8">
        <f>'Scenario C - 9K'!B10</f>
      </c>
      <c r="E18" s="8">
        <f>'Scenario D - 12K'!B10</f>
      </c>
      <c r="F18" s="8">
        <f>'Scenario E - 18K'!B10</f>
      </c>
    </row>
    <row r="19" spans="1:6" x14ac:dyDescent="0.25">
      <c r="A19" s="9" t="s">
        <v>21</v>
      </c>
      <c r="B19" s="10">
        <f>'Scenario A - 3K'!B15</f>
      </c>
      <c r="C19" s="10">
        <f>'Scenario B - 6K'!B15</f>
      </c>
      <c r="D19" s="10">
        <f>'Scenario C - 9K'!B15</f>
      </c>
      <c r="E19" s="10">
        <f>'Scenario D - 12K'!B15</f>
      </c>
      <c r="F19" s="10">
        <f>'Scenario E - 18K'!B15</f>
      </c>
    </row>
    <row r="20" spans="1:6" x14ac:dyDescent="0.25">
      <c r="A20" s="7" t="s">
        <v>22</v>
      </c>
      <c r="B20" s="8">
        <f>'Scenario A - 3K'!B22</f>
      </c>
      <c r="C20" s="8">
        <f>'Scenario B - 6K'!B22</f>
      </c>
      <c r="D20" s="8">
        <f>'Scenario C - 9K'!B22</f>
      </c>
      <c r="E20" s="8">
        <f>'Scenario D - 12K'!B22</f>
      </c>
      <c r="F20" s="8">
        <f>'Scenario E - 18K'!B22</f>
      </c>
    </row>
    <row r="21" spans="1:1" x14ac:dyDescent="0.25">
      <c r="A21" t="s">
        <v>19</v>
      </c>
    </row>
    <row r="22" spans="1:6" x14ac:dyDescent="0.25">
      <c r="A22" s="7" t="s">
        <v>23</v>
      </c>
      <c r="B22" s="8">
        <f>'Scenario A - 3K'!B47</f>
      </c>
      <c r="C22" s="8">
        <f>'Scenario B - 6K'!B47</f>
      </c>
      <c r="D22" s="8">
        <f>'Scenario C - 9K'!B47</f>
      </c>
      <c r="E22" s="8">
        <f>'Scenario D - 12K'!B47</f>
      </c>
      <c r="F22" s="8">
        <f>'Scenario E - 18K'!B47</f>
      </c>
    </row>
    <row r="23" spans="1:6" x14ac:dyDescent="0.25">
      <c r="A23" s="9" t="s">
        <v>24</v>
      </c>
      <c r="B23" s="10">
        <f>'Scenario A - 3K'!B48</f>
      </c>
      <c r="C23" s="10">
        <f>'Scenario B - 6K'!B48</f>
      </c>
      <c r="D23" s="10">
        <f>'Scenario C - 9K'!B48</f>
      </c>
      <c r="E23" s="10">
        <f>'Scenario D - 12K'!B48</f>
      </c>
      <c r="F23" s="10">
        <f>'Scenario E - 18K'!B48</f>
      </c>
    </row>
    <row r="24" spans="1:6" x14ac:dyDescent="0.25">
      <c r="A24" s="7" t="s">
        <v>25</v>
      </c>
      <c r="B24" s="12">
        <f>'Scenario A - 3K'!B53</f>
      </c>
      <c r="C24" s="12">
        <f>'Scenario B - 6K'!B53</f>
      </c>
      <c r="D24" s="12">
        <f>'Scenario C - 9K'!B53</f>
      </c>
      <c r="E24" s="12">
        <f>'Scenario D - 12K'!B53</f>
      </c>
      <c r="F24" s="12">
        <f>'Scenario E - 18K'!B53</f>
      </c>
    </row>
    <row r="25" spans="1:1" x14ac:dyDescent="0.25">
      <c r="A25" t="s">
        <v>19</v>
      </c>
    </row>
    <row r="26" spans="1:6" x14ac:dyDescent="0.25">
      <c r="A26" s="7" t="s">
        <v>26</v>
      </c>
      <c r="B26" s="8">
        <f>'Scenario A - 3K'!B49</f>
      </c>
      <c r="C26" s="8">
        <f>'Scenario B - 6K'!B49</f>
      </c>
      <c r="D26" s="8">
        <f>'Scenario C - 9K'!B49</f>
      </c>
      <c r="E26" s="8">
        <f>'Scenario D - 12K'!B49</f>
      </c>
      <c r="F26" s="8">
        <f>'Scenario E - 18K'!B49</f>
      </c>
    </row>
    <row r="27" spans="1:6" x14ac:dyDescent="0.25">
      <c r="A27" s="9" t="s">
        <v>27</v>
      </c>
      <c r="B27" s="10">
        <f>'Scenario A - 3K'!B50</f>
      </c>
      <c r="C27" s="10">
        <f>'Scenario B - 6K'!B50</f>
      </c>
      <c r="D27" s="10">
        <f>'Scenario C - 9K'!B50</f>
      </c>
      <c r="E27" s="10">
        <f>'Scenario D - 12K'!B50</f>
      </c>
      <c r="F27" s="10">
        <f>'Scenario E - 18K'!B50</f>
      </c>
    </row>
    <row r="28" spans="1:6" x14ac:dyDescent="0.25">
      <c r="A28" s="7" t="s">
        <v>28</v>
      </c>
      <c r="B28" s="8">
        <f>'Scenario A - 3K'!B51</f>
      </c>
      <c r="C28" s="8">
        <f>'Scenario B - 6K'!B51</f>
      </c>
      <c r="D28" s="8">
        <f>'Scenario C - 9K'!B51</f>
      </c>
      <c r="E28" s="8">
        <f>'Scenario D - 12K'!B51</f>
      </c>
      <c r="F28" s="8">
        <f>'Scenario E - 18K'!B51</f>
      </c>
    </row>
    <row r="29" spans="1:6" x14ac:dyDescent="0.25">
      <c r="A29" s="9" t="s">
        <v>29</v>
      </c>
      <c r="B29" s="10">
        <f>'Scenario A - 3K'!B52</f>
      </c>
      <c r="C29" s="10">
        <f>'Scenario B - 6K'!B52</f>
      </c>
      <c r="D29" s="10">
        <f>'Scenario C - 9K'!B52</f>
      </c>
      <c r="E29" s="10">
        <f>'Scenario D - 12K'!B52</f>
      </c>
      <c r="F29" s="10">
        <f>'Scenario E - 18K'!B52</f>
      </c>
    </row>
  </sheetData>
  <mergeCells count="3">
    <mergeCell ref="A1:F1"/>
    <mergeCell ref="A2:F2"/>
    <mergeCell ref="A12:F12"/>
  </mergeCells>
  <conditionalFormatting sqref="B28:F28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2" priority="3" operator="greaterThanOrEqual">
      <formula>500</formula>
    </cfRule>
  </conditionalFormatting>
  <conditionalFormatting sqref="B29:F29">
    <cfRule type="cellIs" dxfId="3" priority="4" operator="lessThan">
      <formula>0</formula>
    </cfRule>
    <cfRule type="cellIs" dxfId="4" priority="5" operator="between">
      <formula>0</formula>
      <formula>500</formula>
    </cfRule>
    <cfRule type="cellIs" dxfId="5" priority="6" operator="greaterThanOrEqual">
      <formula>500</formula>
    </cfRule>
  </conditionalFormatting>
  <hyperlinks>
    <hyperlink ref="A5" r:id="rId1" location="#'Scenario A - 3K'!A1"/>
    <hyperlink ref="A6" r:id="rId2" location="#'Scenario B - 6K'!A1"/>
    <hyperlink ref="A7" r:id="rId3" location="#'Scenario C - 9K'!A1"/>
    <hyperlink ref="A8" r:id="rId4" location="#'Scenario D - 12K'!A1"/>
    <hyperlink ref="A9" r:id="rId5" location="#'Scenario E - 18K'!A1"/>
    <hyperlink ref="A10" r:id="rId6" location="#'Constants'!A1"/>
  </hyperlinks>
  <pageMargins left="0.75" right="0.75" top="0.75" bottom="0.75" header="0.3" footer="0.3"/>
  <pageSetup orientation="landscape" fitToWidth="1" fitToHeight="0"/>
  <headerFooter>
    <oddHeader>&amp;C&amp;"Arial,Bold"Spanish Autonomo Tax Calculator - Overview</oddHeader>
    <oddFooter>&amp;LPage &amp;P of &amp;N&amp;R&amp;D</oddFooter>
  </headerFooter>
  <legacy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Scenario A - 3K</vt:lpstr>
      <vt:lpstr>Scenario B - 6K</vt:lpstr>
      <vt:lpstr>Scenario C - 9K</vt:lpstr>
      <vt:lpstr>Scenario D - 12K</vt:lpstr>
      <vt:lpstr>Scenario E - 18K</vt:lpstr>
      <vt:lpstr>Constants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Autonomo Tax Calculator</dc:creator>
  <dc:title/>
  <dc:subject/>
  <dc:description/>
  <cp:keywords/>
  <cp:category/>
  <cp:lastModifiedBy>Unknown</cp:lastModifiedBy>
  <dcterms:created xsi:type="dcterms:W3CDTF">2026-02-01T16:28:02Z</dcterms:created>
  <dcterms:modified xsi:type="dcterms:W3CDTF">2026-02-01T16:28:02Z</dcterms:modified>
</cp:coreProperties>
</file>