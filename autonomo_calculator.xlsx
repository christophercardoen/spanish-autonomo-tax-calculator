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tants" state="visible" r:id="rId4"/>
  </sheets>
  <definedNames>
    <definedName name="RETA_MONTHLY">Constants!$B$5</definedName>
    <definedName name="RETA_ANNUAL">Constants!$B$6</definedName>
    <definedName name="MINIMO_PERSONAL">Constants!$B$9</definedName>
    <definedName name="MINIMO_DESCENDIENTES">Constants!$B$10</definedName>
    <definedName name="GASTOS_DIFICIL_RATE">Constants!$B$13</definedName>
    <definedName name="GASTOS_DIFICIL_MAX">Constants!$B$14</definedName>
    <definedName name="PRIVATE_COSTS">Constants!$B$17</definedName>
  </definedNames>
  <calcPr calcId="171027"/>
</workbook>
</file>

<file path=xl/sharedStrings.xml><?xml version="1.0" encoding="utf-8"?>
<sst xmlns="http://schemas.openxmlformats.org/spreadsheetml/2006/main" count="23" uniqueCount="23">
  <si>
    <t>Fiscal Data 2025/2026</t>
  </si>
  <si>
    <t>Sources: AEAT, BOE, Seguridad Social</t>
  </si>
  <si>
    <t>RETA (Seguridad Social)</t>
  </si>
  <si>
    <t>RETA Monthly</t>
  </si>
  <si>
    <t>RETA Annual</t>
  </si>
  <si>
    <t>Minimos Personales y Familiares</t>
  </si>
  <si>
    <t>Minimo Personal</t>
  </si>
  <si>
    <t>Minimo Descendientes (1)</t>
  </si>
  <si>
    <t>Gastos de Dificil Justificacion</t>
  </si>
  <si>
    <t>Gastos Dificil Rate</t>
  </si>
  <si>
    <t>Gastos Dificil Max</t>
  </si>
  <si>
    <t>Private Costs (Non-Deductible)</t>
  </si>
  <si>
    <t>Private Costs Monthly</t>
  </si>
  <si>
    <t>IRPF 2025 Brackets</t>
  </si>
  <si>
    <t>Lower</t>
  </si>
  <si>
    <t>Upper</t>
  </si>
  <si>
    <t>Rate</t>
  </si>
  <si>
    <t>Base Tax</t>
  </si>
  <si>
    <t>+</t>
  </si>
  <si>
    <t>Notes:</t>
  </si>
  <si>
    <t>- RETA cuota is fixed from registration (not theoretical tramo)</t>
  </si>
  <si>
    <t>- Gastos dificil: 5% (not 7% - that was exceptional 2023)</t>
  </si>
  <si>
    <t>- Update these values for 2027 rates when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</si>
</sst>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EUR &quot;#,##0.00"/>
    <numFmt numFmtId="165" formatCode="&quot;EUR &quot;#,##0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sz val="14"/>
    </font>
    <font>
      <i/>
      <color rgb="FF666666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3" fillId="2" borderId="0" xfId="0" applyFont="1" applyFill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FormatPr defaultRowHeight="15" outlineLevelRow="0" outlineLevelCol="0" x14ac:dyDescent="55"/>
  <cols>
    <col min="1" max="1" width="25" customWidth="1"/>
    <col min="2" max="2" width="15" customWidth="1"/>
    <col min="3" max="3" width="10" customWidth="1"/>
    <col min="4" max="4" width="15" customWidth="1"/>
  </cols>
  <sheetData>
    <row r="1" spans="1:4" x14ac:dyDescent="0.25">
      <c r="A1" s="1" t="s">
        <v>0</v>
      </c>
      <c r="B1" s="1"/>
      <c r="C1" s="1"/>
      <c r="D1" s="1"/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t="s">
        <v>3</v>
      </c>
      <c r="B5" s="4">
        <v>428.4</v>
      </c>
    </row>
    <row r="6" spans="1:2" x14ac:dyDescent="0.25">
      <c r="A6" t="s">
        <v>4</v>
      </c>
      <c r="B6" s="4">
        <f>RETA_MONTHLY*12</f>
      </c>
    </row>
    <row r="8" spans="1:1" x14ac:dyDescent="0.25">
      <c r="A8" s="3" t="s">
        <v>5</v>
      </c>
    </row>
    <row r="9" spans="1:2" x14ac:dyDescent="0.25">
      <c r="A9" t="s">
        <v>6</v>
      </c>
      <c r="B9" s="5">
        <v>5550</v>
      </c>
    </row>
    <row r="10" spans="1:2" x14ac:dyDescent="0.25">
      <c r="A10" t="s">
        <v>7</v>
      </c>
      <c r="B10" s="5">
        <v>2400</v>
      </c>
    </row>
    <row r="12" spans="1:1" x14ac:dyDescent="0.25">
      <c r="A12" s="3" t="s">
        <v>8</v>
      </c>
    </row>
    <row r="13" spans="1:2" x14ac:dyDescent="0.25">
      <c r="A13" t="s">
        <v>9</v>
      </c>
      <c r="B13" s="6">
        <v>0.05</v>
      </c>
    </row>
    <row r="14" spans="1:2" x14ac:dyDescent="0.25">
      <c r="A14" t="s">
        <v>10</v>
      </c>
      <c r="B14" s="5">
        <v>2000</v>
      </c>
    </row>
    <row r="16" spans="1:1" x14ac:dyDescent="0.25">
      <c r="A16" s="3" t="s">
        <v>11</v>
      </c>
    </row>
    <row r="17" spans="1:2" x14ac:dyDescent="0.25">
      <c r="A17" t="s">
        <v>12</v>
      </c>
      <c r="B17" s="5">
        <v>1727</v>
      </c>
    </row>
    <row r="19" spans="1:1" x14ac:dyDescent="0.25">
      <c r="A19" s="3" t="s">
        <v>13</v>
      </c>
    </row>
    <row r="20" spans="1:4" x14ac:dyDescent="0.25">
      <c r="A20" s="7" t="s">
        <v>14</v>
      </c>
      <c r="B20" s="7" t="s">
        <v>15</v>
      </c>
      <c r="C20" s="7" t="s">
        <v>16</v>
      </c>
      <c r="D20" s="7" t="s">
        <v>17</v>
      </c>
    </row>
    <row r="21" spans="1:4" x14ac:dyDescent="0.25">
      <c r="A21" s="5">
        <v>0</v>
      </c>
      <c r="B21" s="5">
        <v>12450</v>
      </c>
      <c r="C21" s="8">
        <v>0.19</v>
      </c>
      <c r="D21" s="4">
        <v>0</v>
      </c>
    </row>
    <row r="22" spans="1:4" x14ac:dyDescent="0.25">
      <c r="A22" s="5">
        <v>12450</v>
      </c>
      <c r="B22" s="5">
        <v>20200</v>
      </c>
      <c r="C22" s="8">
        <v>0.24</v>
      </c>
      <c r="D22" s="4">
        <v>2365.5</v>
      </c>
    </row>
    <row r="23" spans="1:4" x14ac:dyDescent="0.25">
      <c r="A23" s="5">
        <v>20200</v>
      </c>
      <c r="B23" s="5">
        <v>35200</v>
      </c>
      <c r="C23" s="8">
        <v>0.3</v>
      </c>
      <c r="D23" s="4">
        <v>4225.5</v>
      </c>
    </row>
    <row r="24" spans="1:4" x14ac:dyDescent="0.25">
      <c r="A24" s="5">
        <v>35200</v>
      </c>
      <c r="B24" s="5">
        <v>60000</v>
      </c>
      <c r="C24" s="8">
        <v>0.37</v>
      </c>
      <c r="D24" s="4">
        <v>8725.5</v>
      </c>
    </row>
    <row r="25" spans="1:4" x14ac:dyDescent="0.25">
      <c r="A25" s="5">
        <v>60000</v>
      </c>
      <c r="B25" s="5">
        <v>300000</v>
      </c>
      <c r="C25" s="8">
        <v>0.45</v>
      </c>
      <c r="D25" s="4">
        <v>17901.5</v>
      </c>
    </row>
    <row r="26" spans="1:4" x14ac:dyDescent="0.25">
      <c r="A26" s="5">
        <v>300000</v>
      </c>
      <c r="B26" t="s">
        <v>18</v>
      </c>
      <c r="C26" s="8">
        <v>0.47</v>
      </c>
      <c r="D26" s="4">
        <v>125901.5</v>
      </c>
    </row>
    <row r="28" spans="1:1" x14ac:dyDescent="0.25">
      <c r="A28" s="3" t="s">
        <v>19</v>
      </c>
    </row>
    <row r="29" spans="1:1" x14ac:dyDescent="0.25">
      <c r="A29" s="2" t="s">
        <v>20</v>
      </c>
    </row>
    <row r="30" spans="1:1" x14ac:dyDescent="0.25">
      <c r="A30" s="2" t="s">
        <v>21</v>
      </c>
    </row>
    <row r="31" spans="1:1" x14ac:dyDescent="0.25">
      <c r="A31" s="2" t="s">
        <v>22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Constants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Autonomo Tax Calculator</dc:creator>
  <dc:title/>
  <dc:subject/>
  <dc:description/>
  <cp:keywords/>
  <cp:category/>
  <cp:lastModifiedBy>Unknown</cp:lastModifiedBy>
  <dcterms:created xsi:type="dcterms:W3CDTF">2026-02-01T16:16:25Z</dcterms:created>
  <dcterms:modified xsi:type="dcterms:W3CDTF">2026-02-01T16:16:25Z</dcterms:modified>
</cp:coreProperties>
</file>